
<file path=[Content_Types].xml><?xml version="1.0" encoding="utf-8"?>
<Types xmlns="http://schemas.openxmlformats.org/package/2006/content-types">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1.xml"/>
  <Override ContentType="application/vnd.openxmlformats-officedocument.spreadsheetml.template.main+xml" PartName="/xl/workbook.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ronogramaDeProjeto" sheetId="1" r:id="rId4"/>
    <sheet state="visible" name="Sobre" sheetId="2" r:id="rId5"/>
  </sheets>
  <definedNames>
    <definedName localSheetId="0" name="Início_da_tarefa">CronogramaDeProjeto!$E$1</definedName>
    <definedName name="Início_do_projeto">CronogramaDeProjeto!$E$3</definedName>
    <definedName localSheetId="0" name="Progresso_da_tarefa">CronogramaDeProjeto!$D$1</definedName>
    <definedName name="Semana_de_exibição">CronogramaDeProjeto!$E$4</definedName>
    <definedName localSheetId="0" name="Término_da_tarefa">CronogramaDeProjeto!$F$1</definedName>
  </definedNames>
  <calcPr/>
</workbook>
</file>

<file path=xl/sharedStrings.xml><?xml version="1.0" encoding="utf-8"?>
<sst xmlns="http://schemas.openxmlformats.org/spreadsheetml/2006/main" count="79" uniqueCount="52">
  <si>
    <t>Crie um cronograma de projeto nesta planilha.
Digite o título desse projeto na célula B1. 
As informações sobre como usar esta planilha, incluindo instruções para leitores de tela e o autor desta pasta de trabalho, estão na planilha Sobre.
Continue navegando pela coluna A para saber mais.</t>
  </si>
  <si>
    <t>TÍTULO DO PROJETO</t>
  </si>
  <si>
    <t>GRÁFICO DE GANTT SIMPLES por Vertex42.com</t>
  </si>
  <si>
    <t>Insira o Nome da empresa na célula B2.</t>
  </si>
  <si>
    <t>Amor em Ação</t>
  </si>
  <si>
    <t>https://www.vertex42.com/ExcelTemplates/simple-gantt-chart.html</t>
  </si>
  <si>
    <t>Insira o nome do Líder do projeto na célula B3. Insira a data de Início do projeto na célula E3. Início do projeto: o rótulo está na célula C3.</t>
  </si>
  <si>
    <t>Daniel C. C. Silva</t>
  </si>
  <si>
    <t>Início do projeto:</t>
  </si>
  <si>
    <t>A semana de exibição na célula E4 representa a semana inicial a ser exibida no cronograma do projeto na célula I4. A data de início do projeto é considerada Semana 1. Para alterar a semana de exibição, basta inserir um novo número da semana na célula E4.
A data inicial para cada semana, começando com a semana de exibição na célula E4, começa na célula I4 e é calculada automaticamente. Há 8 semanas representadas nesse modo de exibição que vão da célula I4 a célula BF4.
Você não deve modificar essas células.
Semana de exibição: o rótulo está na célula C4.</t>
  </si>
  <si>
    <t>Semana de exibição:</t>
  </si>
  <si>
    <t>As células I5 a BL5 contêm o número de dias da semana representado no bloco de células acima de cada célula de data e são calculadas automaticamente.
Você não deve modificar essas células.
A data de hoje é contornada em vermelho (hex #AD3815) a partir da data de hoje na linha 5, passando pela coluna de data inteira até o final do cronograma do projeto.</t>
  </si>
  <si>
    <t>Esta linha inclui cabeçalhos do cronograma do projeto que estão abaixo deles. 
Navegue de B6 a BL6 para ouvir o conteúdo. A primeira letra de cada dia da semana da data acima daquele cabeçalho começa na célula I6 e continua até a célula BL6.
Todo o gráfico de linha do tempo de projeto é gerado automaticamente com base nas datas de início e término inseridas, usando os formatos condicionais.
Não modifique o conteúdo nas células dentro das colunas após a coluna I, começando na célula I7.</t>
  </si>
  <si>
    <t>TAREFA</t>
  </si>
  <si>
    <t>ATRIBUÍDO
PARA</t>
  </si>
  <si>
    <t>PROGRESSO</t>
  </si>
  <si>
    <t>INÍCIO</t>
  </si>
  <si>
    <t>TÉRMINO</t>
  </si>
  <si>
    <t>DIAS</t>
  </si>
  <si>
    <t xml:space="preserve">Não exclua esta linha. Esta linha ficará oculta para preservar uma fórmula usada para realçar o dia atual no cronograma do projeto. </t>
  </si>
  <si>
    <t>A célula B8 contém o título do exemplo da Fase 1. 
Insira um novo Título na célula B8.
Na célula C8, insira o nome a atribuir à fase, caso ela se aplique ao seu projeto.
Na célula D8, insira o Progresso para a fase inteira, caso ela se aplique ao seu projeto.
Nas células E8 e F8, insira as datas de início e término para a fase inteira, caso ela se aplique ao seu projeto. 
O gráfico de Gantt preenche automaticamente as datas apropriadas e sombreia de acordo com o andamento inserido.
Para excluir a fase e trabalhar apenas nas tarefas, basta excluir essa linha.</t>
  </si>
  <si>
    <t>Título Fase 1</t>
  </si>
  <si>
    <t xml:space="preserve">A célula B9 contém a tarefa de exemplo "Tarefa 1". 
Insira um novo nome da tarefa na célula B9.
Insira uma pessoa para atribuir a tarefa na célula C9.
Insira o andamento da tarefa na célula D9. Uma barra de progresso é exibida na célula e fica sombreada de acordo com o número na célula. Por exemplo, 50% de progresso sombreia metade da célula.
Insira a data de início da tarefa na célula E9.
Insira a data de término da tarefa na célula F9.
Uma barra de status sombreada das datas inseridas aparece em blocos começando na célula I9 até BL9. </t>
  </si>
  <si>
    <t>Tarefa 1</t>
  </si>
  <si>
    <t>Nome</t>
  </si>
  <si>
    <t>As linhas 10 a 13 repetem o padrão da linha 9. 
Repita as instruções da célula A9 para todas as linhas de tarefas nesta planilha. Substitua os dados de exemplo.
Um exemplo de outra fase começa na célula A14. 
Continue inserindo tarefas nas células A10 a A13 ou vá para a célula A14 para saber mais.</t>
  </si>
  <si>
    <t>Tarefa 2</t>
  </si>
  <si>
    <t>Tarefa 3</t>
  </si>
  <si>
    <t>Tarefa 4</t>
  </si>
  <si>
    <t>Tarefa 5</t>
  </si>
  <si>
    <t>A célula à direita contém o título do exemplo da Fase 2. 
Você pode criar uma nova fase a qualquer momento na coluna B. Este cronograma de projeto não exige fases. Para remover a fase, basta excluir a linha.
Para criar um novo bloco de fases nesta linha, digite um novo Título na célula à direita.
Para continuar a adicionar tarefas à fase acima, insira uma nova linha acima desta e preencha os dados da tarefa como na instrução da célula A9.
Atualize os detalhes da Fase na célula à direita, com base nas instruções da célula A8.
Continue navegando para baixo nas células da coluna A para saber mais.
Se você ainda não adicionou as novas linhas nesta planilha, encontrará 2 exemplos adicionais de blocos de fase que foram criados nas células B20 e B26. Caso contrário, navegue pelas células da coluna A para localizar os blocos adicionais. 
Repita as instruções das células A8 e A9 sempre que precisar.</t>
  </si>
  <si>
    <t>Título Fase 2</t>
  </si>
  <si>
    <t>Bloco de título de fase de exemplo</t>
  </si>
  <si>
    <t>Título Fase 3</t>
  </si>
  <si>
    <t>Título Fase 4</t>
  </si>
  <si>
    <t>data</t>
  </si>
  <si>
    <t>Esta é uma linha vazia</t>
  </si>
  <si>
    <t>Esta linha marca o final do Cronograma do projeto. NÃO insira nada nessa linha. 
Insira novas linhas ACIMA desta linha para continuar a construção do cronograma de projeto.</t>
  </si>
  <si>
    <t>Insira novas linhas ACIMA desta</t>
  </si>
  <si>
    <t>Sobre este modelo</t>
  </si>
  <si>
    <t>Este modelo proporciona uma maneira simples de criar um gráfico de Gantt para ajudar a visualizar e controlar seu projeto. Basta inserir suas tarefas e as datas de início e término, as fórmulas não são necessárias. As barras no gráfico de Gantt representam a duração da tarefa e são exibidas usando a formatação condicional. Para adicionar novas tarefas, insira novas linhas.</t>
  </si>
  <si>
    <t>Guia para leitores de tela</t>
  </si>
  <si>
    <t>Há duas planilhas nesta pasta de trabalho. 
FolhaDePonto
Sobre
As instruções para cada planilha estão na coluna A, começando na célula A1 de cada planilha. Elas foram escritas com texto oculto. Cada etapa orienta você pelas informações nessa linha. Cada etapa subsequente continua na célula A2, A3 e assim por diante, caso isso não seja orientado explicitamente. Por exemplo, o texto da instrução pode mostrar "continua na célula A6" para a próxima etapa. 
Esse texto oculto não será impresso.
Para remover essas instruções da planilha, basta excluir a coluna A.</t>
  </si>
  <si>
    <t>Ajuda adicional</t>
  </si>
  <si>
    <t>Clique no link abaixo para acessar o site vertex42.com e saiba mais sobre como usar esse modelo, como calcular os dias normais e dias úteis, criar as dependências entre tarefas, alterar as cores das barras, adicionar uma barra de rolagem para facilitar a alteração da semana de exibição, ampliar o intervalo de data exibido no gráfico, etc.</t>
  </si>
  <si>
    <t>Como usar um gráfico de Gantt simples</t>
  </si>
  <si>
    <t>Mais modelos de gerenciamento de projetos</t>
  </si>
  <si>
    <t>Acesse Vertex42.com para baixar outros modelos de gerenciamento de projetos, incluindo os diferentes tipos de cronogramas de projetos, gráficos de Gantt, listas de tarefas, etc.</t>
  </si>
  <si>
    <t>Modelos de gerenciamento de projetos</t>
  </si>
  <si>
    <t>Sobre o Vertex42</t>
  </si>
  <si>
    <t>O Vertex42.com oferece mais de 300 modelos profissionais de planilha para uso corporativo, doméstico e educacional, a maioria deles com download gratuito. O conjunto de modelos inclui vários calendários, planejadores e agendas, bem como planilhas de finanças pessoais para orçamento, redução de débito e amortização de empréstimo.</t>
  </si>
  <si>
    <t>As empresas encontrarão faturas, folhas de ponto, controladores de estoque, demonstrativos financeiros e modelos de planejamento de projetos. Professores e alunos encontrarão recursos como cronogramas de aula, planilhas de notas e planilhas de participação. Organize sua vida familiar com planejadores de refeições, listas de verificação e registros de exercícios. Cada modelo é completamente pesquisado, refinado e aprimorado ao longo do tempo com o feedback de milhares de usuários.</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</si>
</sst>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ddd\,\ dd/mm/yyyy"/>
    <numFmt numFmtId="165" formatCode="d\-mmm\-yyyy"/>
    <numFmt numFmtId="166" formatCode="d"/>
    <numFmt numFmtId="167" formatCode="d/m/yy"/>
  </numFmts>
  <fonts count="27">
    <font>
      <sz val="11.0"/>
      <color/>
      <name val="Arial"/>
      <scheme val="minor"/>
    </font>
    <font>
      <sz val="11.0"/>
      <color/>
      <name val="Calibri"/>
    </font>
    <font>
      <b/>
      <sz val="22.0"/>
      <color rgb="FF595959"/>
      <name val="Calibri"/>
    </font>
    <font>
      <b/>
      <sz val="20.0"/>
      <color rgb="FF366092"/>
      <name val="Calibri"/>
    </font>
    <font>
      <sz val="10.0"/>
      <name val="Calibri"/>
    </font>
    <font>
      <b/>
      <u/>
      <sz val="11.0"/>
      <color rgb="FF0000FF"/>
      <name val="Calibri"/>
    </font>
    <font>
      <sz val="14.0"/>
      <color/>
      <name val="Calibri"/>
    </font>
    <font>
      <u/>
      <sz val="10.0"/>
      <color rgb="FF0000FF"/>
      <name val="Arial"/>
    </font>
    <font/>
    <font>
      <sz val="9.0"/>
      <name val="Calibri"/>
    </font>
    <font>
      <b/>
      <sz val="9.0"/>
      <color/>
      <name val="Calibri"/>
    </font>
    <font>
      <sz val="8.0"/>
      <color/>
      <name val="Calibri"/>
    </font>
    <font>
      <b/>
      <sz val="11.0"/>
      <color/>
      <name val="Calibri"/>
    </font>
    <font>
      <sz val="11.0"/>
      <name val="Calibri"/>
    </font>
    <font>
      <i/>
      <sz val="9.0"/>
      <color/>
      <name val="Calibri"/>
    </font>
    <font>
      <sz val="10.0"/>
      <color rgb="FF7F7F7F"/>
      <name val="Calibri"/>
    </font>
    <font>
      <b/>
      <sz val="11.0"/>
      <color rgb="FF7F7F7F"/>
      <name val="Calibri"/>
    </font>
    <font>
      <sz val="10.0"/>
      <color rgb="FF7F7F7F"/>
      <name val="Arial"/>
    </font>
    <font>
      <b/>
      <u/>
      <sz val="12.0"/>
      <color rgb="FF595959"/>
      <name val="Calibri"/>
    </font>
    <font>
      <b/>
      <sz val="12.0"/>
      <color rgb="FF595959"/>
      <name val="Calibri"/>
    </font>
    <font>
      <b/>
      <sz val="10.0"/>
      <name val="Calibri"/>
    </font>
    <font>
      <u/>
      <sz val="11.0"/>
      <color rgb="FF0000FF"/>
      <name val="Calibri"/>
    </font>
    <font>
      <sz val="11.0"/>
      <color rgb="FF7F7F7F"/>
      <name val="Calibri"/>
    </font>
    <font>
      <b/>
      <sz val="16.0"/>
      <color rgb="FF366092"/>
      <name val="Calibri"/>
    </font>
    <font>
      <sz val="20.0"/>
      <name val="Calibri"/>
    </font>
    <font>
      <sz val="11.0"/>
      <color rgb="FF1D2129"/>
      <name val="Calibri"/>
    </font>
    <font>
      <u/>
      <sz val="11.0"/>
      <color rgb="FF0000FF"/>
      <name val="Arial"/>
    </font>
  </fonts>
  <fills count="13">
    <fill>
      <patternFill patternType="none"/>
    </fill>
    <fill>
      <patternFill patternType="lightGray"/>
    </fill>
    <fill>
      <patternFill patternType="solid">
        <fgColor rgb="FFD8D8D8"/>
        <bgColor rgb="FFD8D8D8"/>
      </patternFill>
    </fill>
    <fill>
      <patternFill patternType="solid">
        <fgColor rgb="FF595959"/>
        <bgColor rgb="FF595959"/>
      </patternFill>
    </fill>
    <fill>
      <patternFill patternType="solid">
        <fgColor rgb="FFB8CCE4"/>
        <bgColor rgb="FFB8CCE4"/>
      </patternFill>
    </fill>
    <fill>
      <patternFill patternType="solid">
        <fgColor rgb="FFDBE5F1"/>
        <bgColor rgb="FFDBE5F1"/>
      </patternFill>
    </fill>
    <fill>
      <patternFill patternType="solid">
        <fgColor rgb="FFE5B8B7"/>
        <bgColor rgb="FFE5B8B7"/>
      </patternFill>
    </fill>
    <fill>
      <patternFill patternType="solid">
        <fgColor rgb="FFF2DBDB"/>
        <bgColor rgb="FFF2DBDB"/>
      </patternFill>
    </fill>
    <fill>
      <patternFill patternType="solid">
        <fgColor rgb="FFD6E3BC"/>
        <bgColor rgb="FFD6E3BC"/>
      </patternFill>
    </fill>
    <fill>
      <patternFill patternType="solid">
        <fgColor rgb="FFEAF1DD"/>
        <bgColor rgb="FFEAF1DD"/>
      </patternFill>
    </fill>
    <fill>
      <patternFill patternType="solid">
        <fgColor rgb="FFCCC0D9"/>
        <bgColor rgb="FFCCC0D9"/>
      </patternFill>
    </fill>
    <fill>
      <patternFill patternType="solid">
        <fgColor rgb="FFE5DFEC"/>
        <bgColor rgb="FFE5DFEC"/>
      </patternFill>
    </fill>
    <fill>
      <patternFill patternType="solid">
        <fgColor rgb="FFF2F2F2"/>
        <bgColor rgb="FFF2F2F2"/>
      </patternFill>
    </fill>
  </fills>
  <borders count="17">
    <border/>
    <border>
      <right style="thin">
        <color rgb="FFA5A5A5"/>
      </right>
    </border>
    <border>
      <left style="thin">
        <color rgb="FFA5A5A5"/>
      </left>
      <top style="thin">
        <color rgb="FFA5A5A5"/>
      </top>
      <bottom style="thin">
        <color rgb="FFA5A5A5"/>
      </bottom>
    </border>
    <border>
      <right style="thin">
        <color rgb="FFA5A5A5"/>
      </right>
      <top style="thin">
        <color rgb="FFA5A5A5"/>
      </top>
      <bottom style="thin">
        <color rgb="FFA5A5A5"/>
      </bottom>
    </border>
    <border>
      <left style="thin">
        <color rgb="FFA5A5A5"/>
      </left>
      <right style="thin">
        <color rgb="FFA5A5A5"/>
      </right>
      <top style="thin">
        <color rgb="FFA5A5A5"/>
      </top>
      <bottom style="thin">
        <color rgb="FFA5A5A5"/>
      </bottom>
    </border>
    <border>
      <left style="thin">
        <color rgb="FFA5A5A5"/>
      </left>
      <top style="thin">
        <color rgb="FFA5A5A5"/>
      </top>
      <bottom/>
    </border>
    <border>
      <top style="thin">
        <color rgb="FFA5A5A5"/>
      </top>
      <bottom/>
    </border>
    <border>
      <right style="thin">
        <color rgb="FFA5A5A5"/>
      </right>
      <top style="thin">
        <color rgb="FFA5A5A5"/>
      </top>
      <bottom/>
    </border>
    <border>
      <bottom style="thin">
        <color rgb="FFA5A5A5"/>
      </bottom>
    </border>
    <border>
      <left style="thin">
        <color rgb="FFA5A5A5"/>
      </left>
      <right/>
      <top/>
      <bottom/>
    </border>
    <border>
      <left/>
      <right/>
      <top/>
      <bottom/>
    </border>
    <border>
      <left/>
      <right style="thin">
        <color rgb="FFA5A5A5"/>
      </right>
      <top/>
      <bottom/>
    </border>
    <border>
      <left/>
      <right/>
      <top style="thin">
        <color rgb="FFA5A5A5"/>
      </top>
      <bottom/>
    </border>
    <border>
      <left style="thin">
        <color rgb="FFA5A5A5"/>
      </left>
      <right style="thin">
        <color rgb="FFA5A5A5"/>
      </right>
      <top/>
      <bottom style="medium">
        <color rgb="FFD8D8D8"/>
      </bottom>
    </border>
    <border>
      <left style="thin">
        <color rgb="FFD8D8D8"/>
      </left>
      <right style="thin">
        <color rgb="FFD8D8D8"/>
      </right>
      <top style="medium">
        <color rgb="FFD8D8D8"/>
      </top>
      <bottom style="medium">
        <color rgb="FFD8D8D8"/>
      </bottom>
    </border>
    <border>
      <left/>
      <right/>
      <top style="medium">
        <color rgb="FFD8D8D8"/>
      </top>
      <bottom style="medium">
        <color rgb="FFD8D8D8"/>
      </bottom>
    </border>
    <border>
      <top style="medium">
        <color rgb="FFD8D8D8"/>
      </top>
      <bottom style="medium">
        <color rgb="FFD8D8D8"/>
      </bottom>
    </border>
  </borders>
  <cellStyleXfs count="1">
    <xf borderId="0" fillId="0" fontId="0" numFmtId="0" applyAlignment="1" applyFont="1"/>
  </cellStyleXfs>
  <cellXfs count="95">
    <xf borderId="0" fillId="0" fontId="0" numFmtId="0" xfId="0" applyAlignment="1" applyFont="1">
      <alignment readingOrder="0" shrinkToFit="0" vertical="bottom" wrapText="0"/>
    </xf>
    <xf borderId="0" fillId="0" fontId="1" numFmtId="0" xfId="0" applyAlignment="1" applyFont="1">
      <alignment shrinkToFit="0" wrapText="1"/>
    </xf>
    <xf borderId="0" fillId="0" fontId="2" numFmtId="0" xfId="0" applyAlignment="1" applyFont="1">
      <alignment horizontal="left"/>
    </xf>
    <xf borderId="0" fillId="0" fontId="3" numFmtId="0" xfId="0" applyAlignment="1" applyFont="1">
      <alignment horizontal="left"/>
    </xf>
    <xf borderId="0" fillId="0" fontId="4" numFmtId="0" xfId="0" applyFont="1"/>
    <xf borderId="0" fillId="0" fontId="4" numFmtId="0" xfId="0" applyAlignment="1" applyFont="1">
      <alignment horizontal="center"/>
    </xf>
    <xf borderId="0" fillId="0" fontId="4" numFmtId="0" xfId="0" applyAlignment="1" applyFont="1">
      <alignment horizontal="center" vertical="center"/>
    </xf>
    <xf borderId="0" fillId="0" fontId="5" numFmtId="0" xfId="0" applyFont="1"/>
    <xf borderId="0" fillId="0" fontId="1" numFmtId="0" xfId="0" applyFont="1"/>
    <xf borderId="0" fillId="0" fontId="6" numFmtId="0" xfId="0" applyAlignment="1" applyFont="1">
      <alignment readingOrder="0"/>
    </xf>
    <xf borderId="0" fillId="0" fontId="1" numFmtId="0" xfId="0" applyAlignment="1" applyFont="1">
      <alignment horizontal="center"/>
    </xf>
    <xf borderId="0" fillId="0" fontId="7" numFmtId="0" xfId="0" applyAlignment="1" applyFont="1">
      <alignment vertical="top"/>
    </xf>
    <xf borderId="0" fillId="0" fontId="6" numFmtId="0" xfId="0" applyAlignment="1" applyFont="1">
      <alignment readingOrder="0" vertical="top"/>
    </xf>
    <xf borderId="0" fillId="0" fontId="1" numFmtId="0" xfId="0" applyAlignment="1" applyFont="1">
      <alignment horizontal="right"/>
    </xf>
    <xf borderId="1" fillId="0" fontId="8" numFmtId="0" xfId="0" applyBorder="1" applyFont="1"/>
    <xf borderId="2" fillId="0" fontId="1" numFmtId="164" xfId="0" applyAlignment="1" applyBorder="1" applyFont="1" applyNumberFormat="1">
      <alignment horizontal="center" vertical="center"/>
    </xf>
    <xf borderId="3" fillId="0" fontId="8" numFmtId="0" xfId="0" applyBorder="1" applyFont="1"/>
    <xf borderId="4" fillId="0" fontId="1" numFmtId="0" xfId="0" applyAlignment="1" applyBorder="1" applyFont="1">
      <alignment horizontal="center" vertical="center"/>
    </xf>
    <xf borderId="5" fillId="2" fontId="1" numFmtId="165" xfId="0" applyAlignment="1" applyBorder="1" applyFill="1" applyFont="1" applyNumberFormat="1">
      <alignment horizontal="left" shrinkToFit="0" vertical="center" wrapText="1"/>
    </xf>
    <xf borderId="6" fillId="0" fontId="8" numFmtId="0" xfId="0" applyBorder="1" applyFont="1"/>
    <xf borderId="7" fillId="0" fontId="8" numFmtId="0" xfId="0" applyBorder="1" applyFont="1"/>
    <xf borderId="8" fillId="0" fontId="1" numFmtId="0" xfId="0" applyBorder="1" applyFont="1"/>
    <xf borderId="9" fillId="2" fontId="9" numFmtId="166" xfId="0" applyAlignment="1" applyBorder="1" applyFont="1" applyNumberFormat="1">
      <alignment horizontal="center" vertical="center"/>
    </xf>
    <xf borderId="10" fillId="2" fontId="9" numFmtId="166" xfId="0" applyAlignment="1" applyBorder="1" applyFont="1" applyNumberFormat="1">
      <alignment horizontal="center" vertical="center"/>
    </xf>
    <xf borderId="11" fillId="2" fontId="9" numFmtId="166" xfId="0" applyAlignment="1" applyBorder="1" applyFont="1" applyNumberFormat="1">
      <alignment horizontal="center" vertical="center"/>
    </xf>
    <xf borderId="12" fillId="3" fontId="10" numFmtId="0" xfId="0" applyAlignment="1" applyBorder="1" applyFill="1" applyFont="1">
      <alignment horizontal="left" vertical="center"/>
    </xf>
    <xf borderId="12" fillId="3" fontId="10" numFmtId="0" xfId="0" applyAlignment="1" applyBorder="1" applyFont="1">
      <alignment horizontal="center" shrinkToFit="0" vertical="center" wrapText="1"/>
    </xf>
    <xf borderId="13" fillId="3" fontId="11" numFmtId="0" xfId="0" applyAlignment="1" applyBorder="1" applyFont="1">
      <alignment horizontal="center" shrinkToFit="1" vertical="center" wrapText="0"/>
    </xf>
    <xf borderId="0" fillId="0" fontId="1" numFmtId="0" xfId="0" applyAlignment="1" applyFont="1">
      <alignment shrinkToFit="0" wrapText="1"/>
    </xf>
    <xf borderId="14" fillId="0" fontId="1" numFmtId="0" xfId="0" applyAlignment="1" applyBorder="1" applyFont="1">
      <alignment vertical="center"/>
    </xf>
    <xf borderId="15" fillId="4" fontId="12" numFmtId="0" xfId="0" applyAlignment="1" applyBorder="1" applyFill="1" applyFont="1">
      <alignment horizontal="left" vertical="center"/>
    </xf>
    <xf borderId="15" fillId="4" fontId="1" numFmtId="0" xfId="0" applyAlignment="1" applyBorder="1" applyFont="1">
      <alignment horizontal="center" vertical="center"/>
    </xf>
    <xf borderId="15" fillId="4" fontId="13" numFmtId="9" xfId="0" applyAlignment="1" applyBorder="1" applyFont="1" applyNumberFormat="1">
      <alignment horizontal="center" vertical="center"/>
    </xf>
    <xf borderId="15" fillId="4" fontId="1" numFmtId="167" xfId="0" applyAlignment="1" applyBorder="1" applyFont="1" applyNumberFormat="1">
      <alignment horizontal="center" vertical="center"/>
    </xf>
    <xf borderId="15" fillId="4" fontId="13" numFmtId="167" xfId="0" applyAlignment="1" applyBorder="1" applyFont="1" applyNumberFormat="1">
      <alignment horizontal="center" vertical="center"/>
    </xf>
    <xf borderId="16" fillId="0" fontId="13" numFmtId="0" xfId="0" applyAlignment="1" applyBorder="1" applyFont="1">
      <alignment horizontal="center" vertical="center"/>
    </xf>
    <xf borderId="15" fillId="5" fontId="1" numFmtId="0" xfId="0" applyAlignment="1" applyBorder="1" applyFill="1" applyFont="1">
      <alignment horizontal="left" vertical="center"/>
    </xf>
    <xf borderId="15" fillId="5" fontId="1" numFmtId="0" xfId="0" applyAlignment="1" applyBorder="1" applyFont="1">
      <alignment horizontal="center" vertical="center"/>
    </xf>
    <xf borderId="15" fillId="5" fontId="13" numFmtId="9" xfId="0" applyAlignment="1" applyBorder="1" applyFont="1" applyNumberFormat="1">
      <alignment horizontal="center" vertical="center"/>
    </xf>
    <xf borderId="15" fillId="5" fontId="1" numFmtId="167" xfId="0" applyAlignment="1" applyBorder="1" applyFont="1" applyNumberFormat="1">
      <alignment horizontal="center" vertical="center"/>
    </xf>
    <xf borderId="14" fillId="0" fontId="1" numFmtId="0" xfId="0" applyAlignment="1" applyBorder="1" applyFont="1">
      <alignment horizontal="right" vertical="center"/>
    </xf>
    <xf borderId="15" fillId="6" fontId="12" numFmtId="0" xfId="0" applyAlignment="1" applyBorder="1" applyFill="1" applyFont="1">
      <alignment horizontal="left" vertical="center"/>
    </xf>
    <xf borderId="15" fillId="6" fontId="1" numFmtId="0" xfId="0" applyAlignment="1" applyBorder="1" applyFont="1">
      <alignment horizontal="center" vertical="center"/>
    </xf>
    <xf borderId="15" fillId="6" fontId="13" numFmtId="9" xfId="0" applyAlignment="1" applyBorder="1" applyFont="1" applyNumberFormat="1">
      <alignment horizontal="center" vertical="center"/>
    </xf>
    <xf borderId="15" fillId="6" fontId="1" numFmtId="167" xfId="0" applyAlignment="1" applyBorder="1" applyFont="1" applyNumberFormat="1">
      <alignment horizontal="center" vertical="center"/>
    </xf>
    <xf borderId="15" fillId="6" fontId="13" numFmtId="167" xfId="0" applyAlignment="1" applyBorder="1" applyFont="1" applyNumberFormat="1">
      <alignment horizontal="center" vertical="center"/>
    </xf>
    <xf borderId="15" fillId="7" fontId="1" numFmtId="0" xfId="0" applyAlignment="1" applyBorder="1" applyFill="1" applyFont="1">
      <alignment horizontal="left" vertical="center"/>
    </xf>
    <xf borderId="15" fillId="7" fontId="1" numFmtId="0" xfId="0" applyAlignment="1" applyBorder="1" applyFont="1">
      <alignment horizontal="center" vertical="center"/>
    </xf>
    <xf borderId="15" fillId="7" fontId="13" numFmtId="9" xfId="0" applyAlignment="1" applyBorder="1" applyFont="1" applyNumberFormat="1">
      <alignment horizontal="center" vertical="center"/>
    </xf>
    <xf borderId="15" fillId="7" fontId="1" numFmtId="167" xfId="0" applyAlignment="1" applyBorder="1" applyFont="1" applyNumberFormat="1">
      <alignment horizontal="center" vertical="center"/>
    </xf>
    <xf borderId="15" fillId="8" fontId="12" numFmtId="0" xfId="0" applyAlignment="1" applyBorder="1" applyFill="1" applyFont="1">
      <alignment horizontal="left" vertical="center"/>
    </xf>
    <xf borderId="15" fillId="8" fontId="1" numFmtId="0" xfId="0" applyAlignment="1" applyBorder="1" applyFont="1">
      <alignment horizontal="center" vertical="center"/>
    </xf>
    <xf borderId="15" fillId="8" fontId="13" numFmtId="9" xfId="0" applyAlignment="1" applyBorder="1" applyFont="1" applyNumberFormat="1">
      <alignment horizontal="center" vertical="center"/>
    </xf>
    <xf borderId="15" fillId="8" fontId="1" numFmtId="167" xfId="0" applyAlignment="1" applyBorder="1" applyFont="1" applyNumberFormat="1">
      <alignment horizontal="center" vertical="center"/>
    </xf>
    <xf borderId="15" fillId="8" fontId="13" numFmtId="167" xfId="0" applyAlignment="1" applyBorder="1" applyFont="1" applyNumberFormat="1">
      <alignment horizontal="center" vertical="center"/>
    </xf>
    <xf borderId="15" fillId="9" fontId="1" numFmtId="0" xfId="0" applyAlignment="1" applyBorder="1" applyFill="1" applyFont="1">
      <alignment horizontal="left" vertical="center"/>
    </xf>
    <xf borderId="15" fillId="9" fontId="1" numFmtId="0" xfId="0" applyAlignment="1" applyBorder="1" applyFont="1">
      <alignment horizontal="center" vertical="center"/>
    </xf>
    <xf borderId="15" fillId="9" fontId="13" numFmtId="9" xfId="0" applyAlignment="1" applyBorder="1" applyFont="1" applyNumberFormat="1">
      <alignment horizontal="center" vertical="center"/>
    </xf>
    <xf borderId="15" fillId="9" fontId="1" numFmtId="167" xfId="0" applyAlignment="1" applyBorder="1" applyFont="1" applyNumberFormat="1">
      <alignment horizontal="center" vertical="center"/>
    </xf>
    <xf borderId="15" fillId="10" fontId="12" numFmtId="0" xfId="0" applyAlignment="1" applyBorder="1" applyFill="1" applyFont="1">
      <alignment horizontal="left" vertical="center"/>
    </xf>
    <xf borderId="15" fillId="10" fontId="1" numFmtId="0" xfId="0" applyAlignment="1" applyBorder="1" applyFont="1">
      <alignment horizontal="center" vertical="center"/>
    </xf>
    <xf borderId="15" fillId="10" fontId="13" numFmtId="9" xfId="0" applyAlignment="1" applyBorder="1" applyFont="1" applyNumberFormat="1">
      <alignment horizontal="center" vertical="center"/>
    </xf>
    <xf borderId="15" fillId="10" fontId="1" numFmtId="167" xfId="0" applyAlignment="1" applyBorder="1" applyFont="1" applyNumberFormat="1">
      <alignment horizontal="center" vertical="center"/>
    </xf>
    <xf borderId="15" fillId="10" fontId="13" numFmtId="167" xfId="0" applyAlignment="1" applyBorder="1" applyFont="1" applyNumberFormat="1">
      <alignment horizontal="center" vertical="center"/>
    </xf>
    <xf borderId="15" fillId="11" fontId="1" numFmtId="0" xfId="0" applyAlignment="1" applyBorder="1" applyFill="1" applyFont="1">
      <alignment horizontal="left" vertical="center"/>
    </xf>
    <xf borderId="15" fillId="11" fontId="1" numFmtId="0" xfId="0" applyAlignment="1" applyBorder="1" applyFont="1">
      <alignment horizontal="center" vertical="center"/>
    </xf>
    <xf borderId="15" fillId="11" fontId="13" numFmtId="9" xfId="0" applyAlignment="1" applyBorder="1" applyFont="1" applyNumberFormat="1">
      <alignment horizontal="center" vertical="center"/>
    </xf>
    <xf borderId="15" fillId="11" fontId="1" numFmtId="167" xfId="0" applyAlignment="1" applyBorder="1" applyFont="1" applyNumberFormat="1">
      <alignment horizontal="center" vertical="center"/>
    </xf>
    <xf borderId="16" fillId="0" fontId="1" numFmtId="0" xfId="0" applyAlignment="1" applyBorder="1" applyFont="1">
      <alignment horizontal="left" vertical="center"/>
    </xf>
    <xf borderId="16" fillId="0" fontId="1" numFmtId="0" xfId="0" applyAlignment="1" applyBorder="1" applyFont="1">
      <alignment horizontal="center" vertical="center"/>
    </xf>
    <xf borderId="16" fillId="0" fontId="13" numFmtId="9" xfId="0" applyAlignment="1" applyBorder="1" applyFont="1" applyNumberFormat="1">
      <alignment horizontal="center" vertical="center"/>
    </xf>
    <xf borderId="16" fillId="0" fontId="1" numFmtId="167" xfId="0" applyAlignment="1" applyBorder="1" applyFont="1" applyNumberFormat="1">
      <alignment horizontal="center" vertical="center"/>
    </xf>
    <xf borderId="15" fillId="12" fontId="14" numFmtId="0" xfId="0" applyAlignment="1" applyBorder="1" applyFill="1" applyFont="1">
      <alignment horizontal="left" vertical="center"/>
    </xf>
    <xf borderId="15" fillId="12" fontId="14" numFmtId="0" xfId="0" applyAlignment="1" applyBorder="1" applyFont="1">
      <alignment horizontal="center" vertical="center"/>
    </xf>
    <xf borderId="15" fillId="12" fontId="13" numFmtId="9" xfId="0" applyAlignment="1" applyBorder="1" applyFont="1" applyNumberFormat="1">
      <alignment horizontal="center" vertical="center"/>
    </xf>
    <xf borderId="15" fillId="12" fontId="15" numFmtId="167" xfId="0" applyAlignment="1" applyBorder="1" applyFont="1" applyNumberFormat="1">
      <alignment horizontal="left" vertical="center"/>
    </xf>
    <xf borderId="15" fillId="12" fontId="13" numFmtId="167" xfId="0" applyAlignment="1" applyBorder="1" applyFont="1" applyNumberFormat="1">
      <alignment horizontal="center" vertical="center"/>
    </xf>
    <xf borderId="15" fillId="12" fontId="13" numFmtId="0" xfId="0" applyAlignment="1" applyBorder="1" applyFont="1">
      <alignment horizontal="center" vertical="center"/>
    </xf>
    <xf borderId="14" fillId="12" fontId="1" numFmtId="0" xfId="0" applyAlignment="1" applyBorder="1" applyFont="1">
      <alignment vertical="center"/>
    </xf>
    <xf borderId="0" fillId="0" fontId="1" numFmtId="0" xfId="0" applyAlignment="1" applyFont="1">
      <alignment horizontal="right" vertical="center"/>
    </xf>
    <xf borderId="0" fillId="0" fontId="16" numFmtId="0" xfId="0" applyFont="1"/>
    <xf borderId="0" fillId="0" fontId="1" numFmtId="0" xfId="0" applyAlignment="1" applyFont="1">
      <alignment horizontal="center"/>
    </xf>
    <xf borderId="0" fillId="0" fontId="17" numFmtId="0" xfId="0" applyFont="1"/>
    <xf borderId="0" fillId="0" fontId="4" numFmtId="0" xfId="0" applyAlignment="1" applyFont="1">
      <alignment vertical="top"/>
    </xf>
    <xf borderId="0" fillId="0" fontId="18" numFmtId="0" xfId="0" applyAlignment="1" applyFont="1">
      <alignment horizontal="left" vertical="center"/>
    </xf>
    <xf borderId="0" fillId="0" fontId="19" numFmtId="0" xfId="0" applyAlignment="1" applyFont="1">
      <alignment horizontal="left" vertical="center"/>
    </xf>
    <xf borderId="0" fillId="0" fontId="20" numFmtId="0" xfId="0" applyAlignment="1" applyFont="1">
      <alignment horizontal="left" vertical="center"/>
    </xf>
    <xf borderId="0" fillId="0" fontId="21" numFmtId="0" xfId="0" applyAlignment="1" applyFont="1">
      <alignment vertical="top"/>
    </xf>
    <xf borderId="0" fillId="0" fontId="22" numFmtId="0" xfId="0" applyAlignment="1" applyFont="1">
      <alignment vertical="top"/>
    </xf>
    <xf borderId="0" fillId="0" fontId="4" numFmtId="0" xfId="0" applyAlignment="1" applyFont="1">
      <alignment horizontal="left" vertical="top"/>
    </xf>
    <xf borderId="0" fillId="0" fontId="23" numFmtId="0" xfId="0" applyAlignment="1" applyFont="1">
      <alignment vertical="center"/>
    </xf>
    <xf borderId="0" fillId="0" fontId="24" numFmtId="0" xfId="0" applyFont="1"/>
    <xf borderId="0" fillId="0" fontId="25" numFmtId="0" xfId="0" applyAlignment="1" applyFont="1">
      <alignment horizontal="left" shrinkToFit="0" vertical="top" wrapText="1"/>
    </xf>
    <xf borderId="0" fillId="0" fontId="1" numFmtId="0" xfId="0" applyAlignment="1" applyFont="1">
      <alignment shrinkToFit="0" vertical="top" wrapText="1"/>
    </xf>
    <xf borderId="0" fillId="0" fontId="26" numFmtId="0" xfId="0" applyAlignment="1" applyFont="1">
      <alignment horizontal="left" vertical="top"/>
    </xf>
  </cellXfs>
  <cellStyles count="1">
    <cellStyle xfId="0" name="Normal" builtinId="0"/>
  </cellStyles>
  <dxfs count="1">
    <dxf>
      <font/>
      <fill>
        <patternFill patternType="none"/>
      </fill>
      <border>
        <left style="thin">
          <color rgb="FFC00000"/>
        </left>
        <right style="thin">
          <color rgb="FFC00000"/>
        </right>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95250</xdr:rowOff>
    </xdr:from>
    <xdr:ext cx="1905000" cy="4286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theme/theme11.xml><?xml version="1.0" encoding="utf-8"?>
<a:theme xmlns:a="http://schemas.openxmlformats.org/drawingml/2006/main" xmlns:r="http://schemas.openxmlformats.org/officeDocument/2006/relationships" name="Office Theme">
  <a:themeElements>
    <a:clrScheme name="Office 2007-2010">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a:extLst>
</a:theme>
</file>

<file path=xl/worksheets/_rels/sheet1.xml.rels><?xml version="1.0" encoding="UTF-8" standalone="yes"?><Relationships xmlns="http://schemas.openxmlformats.org/package/2006/relationships"><Relationship Id="rId1" Type="http://schemas.openxmlformats.org/officeDocument/2006/relationships/hyperlink" Target="https://www.vertex42.com/ExcelTemplates/simple-gantt-chart.html?utm_source=ms&amp;utm_medium=file&amp;utm_campaign=office&amp;utm_content=text" TargetMode="External"/><Relationship Id="rId2" Type="http://schemas.openxmlformats.org/officeDocument/2006/relationships/hyperlink" Target="https://www.vertex42.com/ExcelTemplates/simple-gantt-chart.html?utm_source=ms&amp;utm_medium=file&amp;utm_campaign=office&amp;utm_content=url"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vertex42.com/ExcelTemplates/simple-gantt-chart.html?utm_source=ms&amp;utm_medium=file&amp;utm_campaign=office&amp;utm_content=text" TargetMode="External"/><Relationship Id="rId2" Type="http://schemas.openxmlformats.org/officeDocument/2006/relationships/hyperlink" Target="https://www.vertex42.com/ExcelTemplates/simple-gantt-chart.html?utm_source=ms&amp;utm_medium=file&amp;utm_campaign=office&amp;utm_content=url" TargetMode="External"/><Relationship Id="rId3" Type="http://schemas.openxmlformats.org/officeDocument/2006/relationships/hyperlink" Target="https://www.vertex42.com/ExcelTemplates/simple-gantt-chart.html?utm_source=ms&amp;utm_medium=file&amp;utm_campaign=office&amp;utm_content=help" TargetMode="External"/><Relationship Id="rId4" Type="http://schemas.openxmlformats.org/officeDocument/2006/relationships/hyperlink" Target="https://www.vertex42.com/ExcelTemplates/excel-project-management.html?utm_source=ms&amp;utm_medium=file&amp;utm_campaign=office&amp;utm_content=text" TargetMode="External"/><Relationship Id="rId5"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pane ySplit="6.0" topLeftCell="A7" activePane="bottomLeft" state="frozen"/>
      <selection activeCell="B8" sqref="B8" pane="bottomLeft"/>
    </sheetView>
  </sheetViews>
  <sheetFormatPr customHeight="1" defaultColWidth="14.43" defaultRowHeight="15.0"/>
  <cols>
    <col customWidth="1" min="1" max="1" width="2.71"/>
    <col customWidth="1" min="2" max="2" width="19.86"/>
    <col customWidth="1" min="3" max="3" width="30.71"/>
    <col customWidth="1" min="4" max="4" width="10.71"/>
    <col customWidth="1" min="5" max="6" width="10.43"/>
    <col customWidth="1" min="7" max="7" width="2.71"/>
    <col customWidth="1" hidden="1" min="8" max="8" width="6.14"/>
    <col customWidth="1" min="9" max="64" width="2.57"/>
  </cols>
  <sheetData>
    <row r="1" ht="30.0" customHeight="1">
      <c r="A1" s="1" t="s">
        <v>0</v>
      </c>
      <c r="B1" s="2" t="s">
        <v>1</v>
      </c>
      <c r="C1" s="3"/>
      <c r="D1" s="4"/>
      <c r="E1" s="5"/>
      <c r="F1" s="6"/>
      <c r="H1" s="4"/>
      <c r="I1" s="7" t="s">
        <v>2</v>
      </c>
    </row>
    <row r="2" ht="30.0" customHeight="1">
      <c r="A2" s="8" t="s">
        <v>3</v>
      </c>
      <c r="B2" s="9" t="s">
        <v>4</v>
      </c>
      <c r="E2" s="10"/>
      <c r="I2" s="11" t="s">
        <v>5</v>
      </c>
    </row>
    <row r="3" ht="30.0" customHeight="1">
      <c r="A3" s="8" t="s">
        <v>6</v>
      </c>
      <c r="B3" s="12" t="s">
        <v>7</v>
      </c>
      <c r="C3" s="13" t="s">
        <v>8</v>
      </c>
      <c r="D3" s="14"/>
      <c r="E3" s="15" t="str">
        <f>TODAY()</f>
        <v>Tue, 10/09/2024</v>
      </c>
      <c r="F3" s="16"/>
    </row>
    <row r="4" ht="30.0" customHeight="1">
      <c r="A4" s="1" t="s">
        <v>9</v>
      </c>
      <c r="C4" s="13" t="s">
        <v>10</v>
      </c>
      <c r="D4" s="14"/>
      <c r="E4" s="17">
        <v>1.0</v>
      </c>
      <c r="I4" s="18" t="str">
        <f>I5</f>
        <v>9-Sep-2024</v>
      </c>
      <c r="J4" s="19"/>
      <c r="K4" s="19"/>
      <c r="L4" s="19"/>
      <c r="M4" s="19"/>
      <c r="N4" s="19"/>
      <c r="O4" s="20"/>
      <c r="P4" s="18" t="str">
        <f>P5</f>
        <v>16-Sep-2024</v>
      </c>
      <c r="Q4" s="19"/>
      <c r="R4" s="19"/>
      <c r="S4" s="19"/>
      <c r="T4" s="19"/>
      <c r="U4" s="19"/>
      <c r="V4" s="20"/>
      <c r="W4" s="18" t="str">
        <f>W5</f>
        <v>23-Sep-2024</v>
      </c>
      <c r="X4" s="19"/>
      <c r="Y4" s="19"/>
      <c r="Z4" s="19"/>
      <c r="AA4" s="19"/>
      <c r="AB4" s="19"/>
      <c r="AC4" s="20"/>
      <c r="AD4" s="18" t="str">
        <f>AD5</f>
        <v>30-Sep-2024</v>
      </c>
      <c r="AE4" s="19"/>
      <c r="AF4" s="19"/>
      <c r="AG4" s="19"/>
      <c r="AH4" s="19"/>
      <c r="AI4" s="19"/>
      <c r="AJ4" s="20"/>
      <c r="AK4" s="18" t="str">
        <f>AK5</f>
        <v>7-Oct-2024</v>
      </c>
      <c r="AL4" s="19"/>
      <c r="AM4" s="19"/>
      <c r="AN4" s="19"/>
      <c r="AO4" s="19"/>
      <c r="AP4" s="19"/>
      <c r="AQ4" s="20"/>
      <c r="AR4" s="18" t="str">
        <f>AR5</f>
        <v>14-Oct-2024</v>
      </c>
      <c r="AS4" s="19"/>
      <c r="AT4" s="19"/>
      <c r="AU4" s="19"/>
      <c r="AV4" s="19"/>
      <c r="AW4" s="19"/>
      <c r="AX4" s="20"/>
      <c r="AY4" s="18" t="str">
        <f>AY5</f>
        <v>21-Oct-2024</v>
      </c>
      <c r="AZ4" s="19"/>
      <c r="BA4" s="19"/>
      <c r="BB4" s="19"/>
      <c r="BC4" s="19"/>
      <c r="BD4" s="19"/>
      <c r="BE4" s="20"/>
      <c r="BF4" s="18" t="str">
        <f>BF5</f>
        <v>28-Oct-2024</v>
      </c>
      <c r="BG4" s="19"/>
      <c r="BH4" s="19"/>
      <c r="BI4" s="19"/>
      <c r="BJ4" s="19"/>
      <c r="BK4" s="19"/>
      <c r="BL4" s="20"/>
    </row>
    <row r="5" ht="15.0" customHeight="1">
      <c r="A5" s="1" t="s">
        <v>11</v>
      </c>
      <c r="B5" s="21"/>
      <c r="C5" s="21"/>
      <c r="D5" s="21"/>
      <c r="E5" s="21"/>
      <c r="F5" s="21"/>
      <c r="G5" s="21"/>
      <c r="I5" s="22" t="str">
        <f>Início_do_projeto-WEEKDAY(Início_do_projeto,1)+2+7*(Semana_de_exibição-1)</f>
        <v>9</v>
      </c>
      <c r="J5" s="23" t="str">
        <f t="shared" ref="J5:BL5" si="1">I5+1</f>
        <v>10</v>
      </c>
      <c r="K5" s="23" t="str">
        <f t="shared" si="1"/>
        <v>11</v>
      </c>
      <c r="L5" s="23" t="str">
        <f t="shared" si="1"/>
        <v>12</v>
      </c>
      <c r="M5" s="23" t="str">
        <f t="shared" si="1"/>
        <v>13</v>
      </c>
      <c r="N5" s="23" t="str">
        <f t="shared" si="1"/>
        <v>14</v>
      </c>
      <c r="O5" s="24" t="str">
        <f t="shared" si="1"/>
        <v>15</v>
      </c>
      <c r="P5" s="22" t="str">
        <f t="shared" si="1"/>
        <v>16</v>
      </c>
      <c r="Q5" s="23" t="str">
        <f t="shared" si="1"/>
        <v>17</v>
      </c>
      <c r="R5" s="23" t="str">
        <f t="shared" si="1"/>
        <v>18</v>
      </c>
      <c r="S5" s="23" t="str">
        <f t="shared" si="1"/>
        <v>19</v>
      </c>
      <c r="T5" s="23" t="str">
        <f t="shared" si="1"/>
        <v>20</v>
      </c>
      <c r="U5" s="23" t="str">
        <f t="shared" si="1"/>
        <v>21</v>
      </c>
      <c r="V5" s="24" t="str">
        <f t="shared" si="1"/>
        <v>22</v>
      </c>
      <c r="W5" s="22" t="str">
        <f t="shared" si="1"/>
        <v>23</v>
      </c>
      <c r="X5" s="23" t="str">
        <f t="shared" si="1"/>
        <v>24</v>
      </c>
      <c r="Y5" s="23" t="str">
        <f t="shared" si="1"/>
        <v>25</v>
      </c>
      <c r="Z5" s="23" t="str">
        <f t="shared" si="1"/>
        <v>26</v>
      </c>
      <c r="AA5" s="23" t="str">
        <f t="shared" si="1"/>
        <v>27</v>
      </c>
      <c r="AB5" s="23" t="str">
        <f t="shared" si="1"/>
        <v>28</v>
      </c>
      <c r="AC5" s="24" t="str">
        <f t="shared" si="1"/>
        <v>29</v>
      </c>
      <c r="AD5" s="22" t="str">
        <f t="shared" si="1"/>
        <v>30</v>
      </c>
      <c r="AE5" s="23" t="str">
        <f t="shared" si="1"/>
        <v>1</v>
      </c>
      <c r="AF5" s="23" t="str">
        <f t="shared" si="1"/>
        <v>2</v>
      </c>
      <c r="AG5" s="23" t="str">
        <f t="shared" si="1"/>
        <v>3</v>
      </c>
      <c r="AH5" s="23" t="str">
        <f t="shared" si="1"/>
        <v>4</v>
      </c>
      <c r="AI5" s="23" t="str">
        <f t="shared" si="1"/>
        <v>5</v>
      </c>
      <c r="AJ5" s="24" t="str">
        <f t="shared" si="1"/>
        <v>6</v>
      </c>
      <c r="AK5" s="22" t="str">
        <f t="shared" si="1"/>
        <v>7</v>
      </c>
      <c r="AL5" s="23" t="str">
        <f t="shared" si="1"/>
        <v>8</v>
      </c>
      <c r="AM5" s="23" t="str">
        <f t="shared" si="1"/>
        <v>9</v>
      </c>
      <c r="AN5" s="23" t="str">
        <f t="shared" si="1"/>
        <v>10</v>
      </c>
      <c r="AO5" s="23" t="str">
        <f t="shared" si="1"/>
        <v>11</v>
      </c>
      <c r="AP5" s="23" t="str">
        <f t="shared" si="1"/>
        <v>12</v>
      </c>
      <c r="AQ5" s="24" t="str">
        <f t="shared" si="1"/>
        <v>13</v>
      </c>
      <c r="AR5" s="22" t="str">
        <f t="shared" si="1"/>
        <v>14</v>
      </c>
      <c r="AS5" s="23" t="str">
        <f t="shared" si="1"/>
        <v>15</v>
      </c>
      <c r="AT5" s="23" t="str">
        <f t="shared" si="1"/>
        <v>16</v>
      </c>
      <c r="AU5" s="23" t="str">
        <f t="shared" si="1"/>
        <v>17</v>
      </c>
      <c r="AV5" s="23" t="str">
        <f t="shared" si="1"/>
        <v>18</v>
      </c>
      <c r="AW5" s="23" t="str">
        <f t="shared" si="1"/>
        <v>19</v>
      </c>
      <c r="AX5" s="24" t="str">
        <f t="shared" si="1"/>
        <v>20</v>
      </c>
      <c r="AY5" s="22" t="str">
        <f t="shared" si="1"/>
        <v>21</v>
      </c>
      <c r="AZ5" s="23" t="str">
        <f t="shared" si="1"/>
        <v>22</v>
      </c>
      <c r="BA5" s="23" t="str">
        <f t="shared" si="1"/>
        <v>23</v>
      </c>
      <c r="BB5" s="23" t="str">
        <f t="shared" si="1"/>
        <v>24</v>
      </c>
      <c r="BC5" s="23" t="str">
        <f t="shared" si="1"/>
        <v>25</v>
      </c>
      <c r="BD5" s="23" t="str">
        <f t="shared" si="1"/>
        <v>26</v>
      </c>
      <c r="BE5" s="24" t="str">
        <f t="shared" si="1"/>
        <v>27</v>
      </c>
      <c r="BF5" s="22" t="str">
        <f t="shared" si="1"/>
        <v>28</v>
      </c>
      <c r="BG5" s="23" t="str">
        <f t="shared" si="1"/>
        <v>29</v>
      </c>
      <c r="BH5" s="23" t="str">
        <f t="shared" si="1"/>
        <v>30</v>
      </c>
      <c r="BI5" s="23" t="str">
        <f t="shared" si="1"/>
        <v>31</v>
      </c>
      <c r="BJ5" s="23" t="str">
        <f t="shared" si="1"/>
        <v>1</v>
      </c>
      <c r="BK5" s="23" t="str">
        <f t="shared" si="1"/>
        <v>2</v>
      </c>
      <c r="BL5" s="24" t="str">
        <f t="shared" si="1"/>
        <v>3</v>
      </c>
    </row>
    <row r="6" ht="30.0" customHeight="1">
      <c r="A6" s="1" t="s">
        <v>12</v>
      </c>
      <c r="B6" s="25" t="s">
        <v>13</v>
      </c>
      <c r="C6" s="26" t="s">
        <v>14</v>
      </c>
      <c r="D6" s="26" t="s">
        <v>15</v>
      </c>
      <c r="E6" s="26" t="s">
        <v>16</v>
      </c>
      <c r="F6" s="26" t="s">
        <v>17</v>
      </c>
      <c r="G6" s="26"/>
      <c r="H6" s="26" t="s">
        <v>18</v>
      </c>
      <c r="I6" s="27" t="str">
        <f t="shared" ref="I6:BL6" si="2">LEFT(TEXT(I5,"ddd"),1)</f>
        <v>M</v>
      </c>
      <c r="J6" s="27" t="str">
        <f t="shared" si="2"/>
        <v>T</v>
      </c>
      <c r="K6" s="27" t="str">
        <f t="shared" si="2"/>
        <v>W</v>
      </c>
      <c r="L6" s="27" t="str">
        <f t="shared" si="2"/>
        <v>T</v>
      </c>
      <c r="M6" s="27" t="str">
        <f t="shared" si="2"/>
        <v>F</v>
      </c>
      <c r="N6" s="27" t="str">
        <f t="shared" si="2"/>
        <v>S</v>
      </c>
      <c r="O6" s="27" t="str">
        <f t="shared" si="2"/>
        <v>S</v>
      </c>
      <c r="P6" s="27" t="str">
        <f t="shared" si="2"/>
        <v>M</v>
      </c>
      <c r="Q6" s="27" t="str">
        <f t="shared" si="2"/>
        <v>T</v>
      </c>
      <c r="R6" s="27" t="str">
        <f t="shared" si="2"/>
        <v>W</v>
      </c>
      <c r="S6" s="27" t="str">
        <f t="shared" si="2"/>
        <v>T</v>
      </c>
      <c r="T6" s="27" t="str">
        <f t="shared" si="2"/>
        <v>F</v>
      </c>
      <c r="U6" s="27" t="str">
        <f t="shared" si="2"/>
        <v>S</v>
      </c>
      <c r="V6" s="27" t="str">
        <f t="shared" si="2"/>
        <v>S</v>
      </c>
      <c r="W6" s="27" t="str">
        <f t="shared" si="2"/>
        <v>M</v>
      </c>
      <c r="X6" s="27" t="str">
        <f t="shared" si="2"/>
        <v>T</v>
      </c>
      <c r="Y6" s="27" t="str">
        <f t="shared" si="2"/>
        <v>W</v>
      </c>
      <c r="Z6" s="27" t="str">
        <f t="shared" si="2"/>
        <v>T</v>
      </c>
      <c r="AA6" s="27" t="str">
        <f t="shared" si="2"/>
        <v>F</v>
      </c>
      <c r="AB6" s="27" t="str">
        <f t="shared" si="2"/>
        <v>S</v>
      </c>
      <c r="AC6" s="27" t="str">
        <f t="shared" si="2"/>
        <v>S</v>
      </c>
      <c r="AD6" s="27" t="str">
        <f t="shared" si="2"/>
        <v>M</v>
      </c>
      <c r="AE6" s="27" t="str">
        <f t="shared" si="2"/>
        <v>T</v>
      </c>
      <c r="AF6" s="27" t="str">
        <f t="shared" si="2"/>
        <v>W</v>
      </c>
      <c r="AG6" s="27" t="str">
        <f t="shared" si="2"/>
        <v>T</v>
      </c>
      <c r="AH6" s="27" t="str">
        <f t="shared" si="2"/>
        <v>F</v>
      </c>
      <c r="AI6" s="27" t="str">
        <f t="shared" si="2"/>
        <v>S</v>
      </c>
      <c r="AJ6" s="27" t="str">
        <f t="shared" si="2"/>
        <v>S</v>
      </c>
      <c r="AK6" s="27" t="str">
        <f t="shared" si="2"/>
        <v>M</v>
      </c>
      <c r="AL6" s="27" t="str">
        <f t="shared" si="2"/>
        <v>T</v>
      </c>
      <c r="AM6" s="27" t="str">
        <f t="shared" si="2"/>
        <v>W</v>
      </c>
      <c r="AN6" s="27" t="str">
        <f t="shared" si="2"/>
        <v>T</v>
      </c>
      <c r="AO6" s="27" t="str">
        <f t="shared" si="2"/>
        <v>F</v>
      </c>
      <c r="AP6" s="27" t="str">
        <f t="shared" si="2"/>
        <v>S</v>
      </c>
      <c r="AQ6" s="27" t="str">
        <f t="shared" si="2"/>
        <v>S</v>
      </c>
      <c r="AR6" s="27" t="str">
        <f t="shared" si="2"/>
        <v>M</v>
      </c>
      <c r="AS6" s="27" t="str">
        <f t="shared" si="2"/>
        <v>T</v>
      </c>
      <c r="AT6" s="27" t="str">
        <f t="shared" si="2"/>
        <v>W</v>
      </c>
      <c r="AU6" s="27" t="str">
        <f t="shared" si="2"/>
        <v>T</v>
      </c>
      <c r="AV6" s="27" t="str">
        <f t="shared" si="2"/>
        <v>F</v>
      </c>
      <c r="AW6" s="27" t="str">
        <f t="shared" si="2"/>
        <v>S</v>
      </c>
      <c r="AX6" s="27" t="str">
        <f t="shared" si="2"/>
        <v>S</v>
      </c>
      <c r="AY6" s="27" t="str">
        <f t="shared" si="2"/>
        <v>M</v>
      </c>
      <c r="AZ6" s="27" t="str">
        <f t="shared" si="2"/>
        <v>T</v>
      </c>
      <c r="BA6" s="27" t="str">
        <f t="shared" si="2"/>
        <v>W</v>
      </c>
      <c r="BB6" s="27" t="str">
        <f t="shared" si="2"/>
        <v>T</v>
      </c>
      <c r="BC6" s="27" t="str">
        <f t="shared" si="2"/>
        <v>F</v>
      </c>
      <c r="BD6" s="27" t="str">
        <f t="shared" si="2"/>
        <v>S</v>
      </c>
      <c r="BE6" s="27" t="str">
        <f t="shared" si="2"/>
        <v>S</v>
      </c>
      <c r="BF6" s="27" t="str">
        <f t="shared" si="2"/>
        <v>M</v>
      </c>
      <c r="BG6" s="27" t="str">
        <f t="shared" si="2"/>
        <v>T</v>
      </c>
      <c r="BH6" s="27" t="str">
        <f t="shared" si="2"/>
        <v>W</v>
      </c>
      <c r="BI6" s="27" t="str">
        <f t="shared" si="2"/>
        <v>T</v>
      </c>
      <c r="BJ6" s="27" t="str">
        <f t="shared" si="2"/>
        <v>F</v>
      </c>
      <c r="BK6" s="27" t="str">
        <f t="shared" si="2"/>
        <v>S</v>
      </c>
      <c r="BL6" s="27" t="str">
        <f t="shared" si="2"/>
        <v>S</v>
      </c>
    </row>
    <row r="7" ht="30.0" hidden="1" customHeight="1">
      <c r="A7" s="8" t="s">
        <v>19</v>
      </c>
      <c r="C7" s="28"/>
      <c r="H7" t="str">
        <f>IF(OR(ISBLANK(CronogramaDeProjeto!Início_da_tarefa),ISBLANK(CronogramaDeProjeto!Término_da_tarefa)),"",CronogramaDeProjeto!Término_da_tarefa-CronogramaDeProjeto!Início_da_tarefa+1)</f>
        <v/>
      </c>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row>
    <row r="8" ht="30.0" customHeight="1">
      <c r="A8" s="1" t="s">
        <v>20</v>
      </c>
      <c r="B8" s="30" t="s">
        <v>21</v>
      </c>
      <c r="C8" s="31"/>
      <c r="D8" s="32"/>
      <c r="E8" s="33"/>
      <c r="F8" s="34"/>
      <c r="G8" s="35"/>
      <c r="H8" s="35" t="str">
        <f>IF(OR(ISBLANK(CronogramaDeProjeto!Início_da_tarefa),ISBLANK(CronogramaDeProjeto!Término_da_tarefa)),"",CronogramaDeProjeto!Término_da_tarefa-CronogramaDeProjeto!Início_da_tarefa+1)</f>
        <v/>
      </c>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row>
    <row r="9" ht="30.0" customHeight="1">
      <c r="A9" s="1" t="s">
        <v>22</v>
      </c>
      <c r="B9" s="36" t="s">
        <v>23</v>
      </c>
      <c r="C9" s="37" t="s">
        <v>24</v>
      </c>
      <c r="D9" s="38">
        <v>0.5</v>
      </c>
      <c r="E9" s="39" t="str">
        <f>Início_do_projeto</f>
        <v>10/9/24</v>
      </c>
      <c r="F9" s="39" t="str">
        <f>E9+3</f>
        <v>13/9/24</v>
      </c>
      <c r="G9" s="35"/>
      <c r="H9" s="35" t="str">
        <f>IF(OR(ISBLANK(CronogramaDeProjeto!Início_da_tarefa),ISBLANK(CronogramaDeProjeto!Término_da_tarefa)),"",CronogramaDeProjeto!Término_da_tarefa-CronogramaDeProjeto!Início_da_tarefa+1)</f>
        <v/>
      </c>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row>
    <row r="10" ht="30.0" customHeight="1">
      <c r="A10" s="1" t="s">
        <v>25</v>
      </c>
      <c r="B10" s="36" t="s">
        <v>26</v>
      </c>
      <c r="C10" s="37"/>
      <c r="D10" s="38">
        <v>0.6</v>
      </c>
      <c r="E10" s="39" t="str">
        <f t="shared" ref="E10:E12" si="3">F9</f>
        <v>13/9/24</v>
      </c>
      <c r="F10" s="39" t="str">
        <f>E10+2</f>
        <v>15/9/24</v>
      </c>
      <c r="G10" s="35"/>
      <c r="H10" s="35" t="str">
        <f>IF(OR(ISBLANK(CronogramaDeProjeto!Início_da_tarefa),ISBLANK(CronogramaDeProjeto!Término_da_tarefa)),"",CronogramaDeProjeto!Término_da_tarefa-CronogramaDeProjeto!Início_da_tarefa+1)</f>
        <v/>
      </c>
      <c r="I10" s="29"/>
      <c r="J10" s="29"/>
      <c r="K10" s="29"/>
      <c r="L10" s="29"/>
      <c r="M10" s="29"/>
      <c r="N10" s="29"/>
      <c r="O10" s="29"/>
      <c r="P10" s="29"/>
      <c r="Q10" s="29"/>
      <c r="R10" s="29"/>
      <c r="S10" s="29"/>
      <c r="T10" s="29"/>
      <c r="U10" s="40"/>
      <c r="V10" s="40"/>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row>
    <row r="11" ht="30.0" customHeight="1">
      <c r="A11" s="8"/>
      <c r="B11" s="36" t="s">
        <v>27</v>
      </c>
      <c r="C11" s="37"/>
      <c r="D11" s="38">
        <v>0.5</v>
      </c>
      <c r="E11" s="39" t="str">
        <f t="shared" si="3"/>
        <v>15/9/24</v>
      </c>
      <c r="F11" s="39" t="str">
        <f>E11+4</f>
        <v>19/9/24</v>
      </c>
      <c r="G11" s="35"/>
      <c r="H11" s="35" t="str">
        <f>IF(OR(ISBLANK(CronogramaDeProjeto!Início_da_tarefa),ISBLANK(CronogramaDeProjeto!Término_da_tarefa)),"",CronogramaDeProjeto!Término_da_tarefa-CronogramaDeProjeto!Início_da_tarefa+1)</f>
        <v/>
      </c>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row>
    <row r="12" ht="30.0" customHeight="1">
      <c r="A12" s="8"/>
      <c r="B12" s="36" t="s">
        <v>28</v>
      </c>
      <c r="C12" s="37"/>
      <c r="D12" s="38">
        <v>0.25</v>
      </c>
      <c r="E12" s="39" t="str">
        <f t="shared" si="3"/>
        <v>19/9/24</v>
      </c>
      <c r="F12" s="39" t="str">
        <f>E12+5</f>
        <v>24/9/24</v>
      </c>
      <c r="G12" s="35"/>
      <c r="H12" s="35" t="str">
        <f>IF(OR(ISBLANK(CronogramaDeProjeto!Início_da_tarefa),ISBLANK(CronogramaDeProjeto!Término_da_tarefa)),"",CronogramaDeProjeto!Término_da_tarefa-CronogramaDeProjeto!Início_da_tarefa+1)</f>
        <v/>
      </c>
      <c r="I12" s="29"/>
      <c r="J12" s="29"/>
      <c r="K12" s="29"/>
      <c r="L12" s="29"/>
      <c r="M12" s="29"/>
      <c r="N12" s="29"/>
      <c r="O12" s="29"/>
      <c r="P12" s="29"/>
      <c r="Q12" s="29"/>
      <c r="R12" s="29"/>
      <c r="S12" s="29"/>
      <c r="T12" s="29"/>
      <c r="U12" s="29"/>
      <c r="V12" s="29"/>
      <c r="W12" s="29"/>
      <c r="X12" s="29"/>
      <c r="Y12" s="40"/>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row>
    <row r="13" ht="30.0" customHeight="1">
      <c r="A13" s="8"/>
      <c r="B13" s="36" t="s">
        <v>29</v>
      </c>
      <c r="C13" s="37"/>
      <c r="D13" s="38"/>
      <c r="E13" s="39" t="str">
        <f>E10+1</f>
        <v>14/9/24</v>
      </c>
      <c r="F13" s="39" t="str">
        <f>E13+2</f>
        <v>16/9/24</v>
      </c>
      <c r="G13" s="35"/>
      <c r="H13" s="35" t="str">
        <f>IF(OR(ISBLANK(CronogramaDeProjeto!Início_da_tarefa),ISBLANK(CronogramaDeProjeto!Término_da_tarefa)),"",CronogramaDeProjeto!Término_da_tarefa-CronogramaDeProjeto!Início_da_tarefa+1)</f>
        <v/>
      </c>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row>
    <row r="14" ht="30.0" customHeight="1">
      <c r="A14" s="1" t="s">
        <v>30</v>
      </c>
      <c r="B14" s="41" t="s">
        <v>31</v>
      </c>
      <c r="C14" s="42"/>
      <c r="D14" s="43"/>
      <c r="E14" s="44"/>
      <c r="F14" s="45"/>
      <c r="G14" s="35"/>
      <c r="H14" s="35" t="str">
        <f>IF(OR(ISBLANK(CronogramaDeProjeto!Início_da_tarefa),ISBLANK(CronogramaDeProjeto!Término_da_tarefa)),"",CronogramaDeProjeto!Término_da_tarefa-CronogramaDeProjeto!Início_da_tarefa+1)</f>
        <v/>
      </c>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row>
    <row r="15" ht="30.0" customHeight="1">
      <c r="A15" s="1"/>
      <c r="B15" s="46" t="s">
        <v>23</v>
      </c>
      <c r="C15" s="47"/>
      <c r="D15" s="48">
        <v>0.5</v>
      </c>
      <c r="E15" s="49" t="str">
        <f>E13+1</f>
        <v>15/9/24</v>
      </c>
      <c r="F15" s="49" t="str">
        <f>E15+4</f>
        <v>19/9/24</v>
      </c>
      <c r="G15" s="35"/>
      <c r="H15" s="35" t="str">
        <f>IF(OR(ISBLANK(CronogramaDeProjeto!Início_da_tarefa),ISBLANK(CronogramaDeProjeto!Término_da_tarefa)),"",CronogramaDeProjeto!Término_da_tarefa-CronogramaDeProjeto!Início_da_tarefa+1)</f>
        <v/>
      </c>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row>
    <row r="16" ht="30.0" customHeight="1">
      <c r="A16" s="8"/>
      <c r="B16" s="46" t="s">
        <v>26</v>
      </c>
      <c r="C16" s="47"/>
      <c r="D16" s="48">
        <v>0.5</v>
      </c>
      <c r="E16" s="49" t="str">
        <f>E15+2</f>
        <v>17/9/24</v>
      </c>
      <c r="F16" s="49" t="str">
        <f>E16+5</f>
        <v>22/9/24</v>
      </c>
      <c r="G16" s="35"/>
      <c r="H16" s="35" t="str">
        <f>IF(OR(ISBLANK(CronogramaDeProjeto!Início_da_tarefa),ISBLANK(CronogramaDeProjeto!Término_da_tarefa)),"",CronogramaDeProjeto!Término_da_tarefa-CronogramaDeProjeto!Início_da_tarefa+1)</f>
        <v/>
      </c>
      <c r="I16" s="29"/>
      <c r="J16" s="29"/>
      <c r="K16" s="29"/>
      <c r="L16" s="29"/>
      <c r="M16" s="29"/>
      <c r="N16" s="29"/>
      <c r="O16" s="29"/>
      <c r="P16" s="29"/>
      <c r="Q16" s="29"/>
      <c r="R16" s="29"/>
      <c r="S16" s="29"/>
      <c r="T16" s="29"/>
      <c r="U16" s="40"/>
      <c r="V16" s="40"/>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row>
    <row r="17" ht="30.0" customHeight="1">
      <c r="A17" s="8"/>
      <c r="B17" s="46" t="s">
        <v>27</v>
      </c>
      <c r="C17" s="47"/>
      <c r="D17" s="48"/>
      <c r="E17" s="49" t="str">
        <f>F16</f>
        <v>22/9/24</v>
      </c>
      <c r="F17" s="49" t="str">
        <f>E17+3</f>
        <v>25/9/24</v>
      </c>
      <c r="G17" s="35"/>
      <c r="H17" s="35" t="str">
        <f>IF(OR(ISBLANK(CronogramaDeProjeto!Início_da_tarefa),ISBLANK(CronogramaDeProjeto!Término_da_tarefa)),"",CronogramaDeProjeto!Término_da_tarefa-CronogramaDeProjeto!Início_da_tarefa+1)</f>
        <v/>
      </c>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row>
    <row r="18" ht="30.0" customHeight="1">
      <c r="A18" s="8"/>
      <c r="B18" s="46" t="s">
        <v>28</v>
      </c>
      <c r="C18" s="47"/>
      <c r="D18" s="48"/>
      <c r="E18" s="49" t="str">
        <f t="shared" ref="E18:E19" si="4">E17</f>
        <v>22/9/24</v>
      </c>
      <c r="F18" s="49" t="str">
        <f>E18+2</f>
        <v>24/9/24</v>
      </c>
      <c r="G18" s="35"/>
      <c r="H18" s="35" t="str">
        <f>IF(OR(ISBLANK(CronogramaDeProjeto!Início_da_tarefa),ISBLANK(CronogramaDeProjeto!Término_da_tarefa)),"",CronogramaDeProjeto!Término_da_tarefa-CronogramaDeProjeto!Início_da_tarefa+1)</f>
        <v/>
      </c>
      <c r="I18" s="29"/>
      <c r="J18" s="29"/>
      <c r="K18" s="29"/>
      <c r="L18" s="29"/>
      <c r="M18" s="29"/>
      <c r="N18" s="29"/>
      <c r="O18" s="29"/>
      <c r="P18" s="29"/>
      <c r="Q18" s="29"/>
      <c r="R18" s="29"/>
      <c r="S18" s="29"/>
      <c r="T18" s="29"/>
      <c r="U18" s="29"/>
      <c r="V18" s="29"/>
      <c r="W18" s="29"/>
      <c r="X18" s="29"/>
      <c r="Y18" s="40"/>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row>
    <row r="19" ht="30.0" customHeight="1">
      <c r="A19" s="8"/>
      <c r="B19" s="46" t="s">
        <v>29</v>
      </c>
      <c r="C19" s="47"/>
      <c r="D19" s="48"/>
      <c r="E19" s="49" t="str">
        <f t="shared" si="4"/>
        <v>22/9/24</v>
      </c>
      <c r="F19" s="49" t="str">
        <f>E19+3</f>
        <v>25/9/24</v>
      </c>
      <c r="G19" s="35"/>
      <c r="H19" s="35" t="str">
        <f>IF(OR(ISBLANK(CronogramaDeProjeto!Início_da_tarefa),ISBLANK(CronogramaDeProjeto!Término_da_tarefa)),"",CronogramaDeProjeto!Término_da_tarefa-CronogramaDeProjeto!Início_da_tarefa+1)</f>
        <v/>
      </c>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row>
    <row r="20" ht="30.0" customHeight="1">
      <c r="A20" s="8" t="s">
        <v>32</v>
      </c>
      <c r="B20" s="50" t="s">
        <v>33</v>
      </c>
      <c r="C20" s="51"/>
      <c r="D20" s="52"/>
      <c r="E20" s="53"/>
      <c r="F20" s="54"/>
      <c r="G20" s="35"/>
      <c r="H20" s="35" t="str">
        <f>IF(OR(ISBLANK(CronogramaDeProjeto!Início_da_tarefa),ISBLANK(CronogramaDeProjeto!Término_da_tarefa)),"",CronogramaDeProjeto!Término_da_tarefa-CronogramaDeProjeto!Início_da_tarefa+1)</f>
        <v/>
      </c>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row>
    <row r="21" ht="30.0" customHeight="1">
      <c r="A21" s="8"/>
      <c r="B21" s="55" t="s">
        <v>23</v>
      </c>
      <c r="C21" s="56"/>
      <c r="D21" s="57"/>
      <c r="E21" s="58" t="str">
        <f>E9+15</f>
        <v>25/9/24</v>
      </c>
      <c r="F21" s="58" t="str">
        <f>E21+5</f>
        <v>30/9/24</v>
      </c>
      <c r="G21" s="35"/>
      <c r="H21" s="35" t="str">
        <f>IF(OR(ISBLANK(CronogramaDeProjeto!Início_da_tarefa),ISBLANK(CronogramaDeProjeto!Término_da_tarefa)),"",CronogramaDeProjeto!Término_da_tarefa-CronogramaDeProjeto!Início_da_tarefa+1)</f>
        <v/>
      </c>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row>
    <row r="22" ht="30.0" customHeight="1">
      <c r="A22" s="8"/>
      <c r="B22" s="55" t="s">
        <v>26</v>
      </c>
      <c r="C22" s="56"/>
      <c r="D22" s="57"/>
      <c r="E22" s="58" t="str">
        <f>F21+1</f>
        <v>1/10/24</v>
      </c>
      <c r="F22" s="58" t="str">
        <f>E22+4</f>
        <v>5/10/24</v>
      </c>
      <c r="G22" s="35"/>
      <c r="H22" s="35" t="str">
        <f>IF(OR(ISBLANK(CronogramaDeProjeto!Início_da_tarefa),ISBLANK(CronogramaDeProjeto!Término_da_tarefa)),"",CronogramaDeProjeto!Término_da_tarefa-CronogramaDeProjeto!Início_da_tarefa+1)</f>
        <v/>
      </c>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row>
    <row r="23" ht="30.0" customHeight="1">
      <c r="A23" s="8"/>
      <c r="B23" s="55" t="s">
        <v>27</v>
      </c>
      <c r="C23" s="56"/>
      <c r="D23" s="57"/>
      <c r="E23" s="58" t="str">
        <f>E22+5</f>
        <v>6/10/24</v>
      </c>
      <c r="F23" s="58" t="str">
        <f>E23+5</f>
        <v>11/10/24</v>
      </c>
      <c r="G23" s="35"/>
      <c r="H23" s="35" t="str">
        <f>IF(OR(ISBLANK(CronogramaDeProjeto!Início_da_tarefa),ISBLANK(CronogramaDeProjeto!Término_da_tarefa)),"",CronogramaDeProjeto!Término_da_tarefa-CronogramaDeProjeto!Início_da_tarefa+1)</f>
        <v/>
      </c>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row>
    <row r="24" ht="30.0" customHeight="1">
      <c r="A24" s="8"/>
      <c r="B24" s="55" t="s">
        <v>28</v>
      </c>
      <c r="C24" s="56"/>
      <c r="D24" s="57"/>
      <c r="E24" s="58" t="str">
        <f>F23+1</f>
        <v>12/10/24</v>
      </c>
      <c r="F24" s="58" t="str">
        <f t="shared" ref="F24:F25" si="5">E24+4</f>
        <v>16/10/24</v>
      </c>
      <c r="G24" s="35"/>
      <c r="H24" s="35" t="str">
        <f>IF(OR(ISBLANK(CronogramaDeProjeto!Início_da_tarefa),ISBLANK(CronogramaDeProjeto!Término_da_tarefa)),"",CronogramaDeProjeto!Término_da_tarefa-CronogramaDeProjeto!Início_da_tarefa+1)</f>
        <v/>
      </c>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row>
    <row r="25" ht="30.0" customHeight="1">
      <c r="A25" s="8"/>
      <c r="B25" s="55" t="s">
        <v>29</v>
      </c>
      <c r="C25" s="56"/>
      <c r="D25" s="57"/>
      <c r="E25" s="58" t="str">
        <f>E23</f>
        <v>6/10/24</v>
      </c>
      <c r="F25" s="58" t="str">
        <f t="shared" si="5"/>
        <v>10/10/24</v>
      </c>
      <c r="G25" s="35"/>
      <c r="H25" s="35" t="str">
        <f>IF(OR(ISBLANK(CronogramaDeProjeto!Início_da_tarefa),ISBLANK(CronogramaDeProjeto!Término_da_tarefa)),"",CronogramaDeProjeto!Término_da_tarefa-CronogramaDeProjeto!Início_da_tarefa+1)</f>
        <v/>
      </c>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row>
    <row r="26" ht="30.0" customHeight="1">
      <c r="A26" s="8" t="s">
        <v>32</v>
      </c>
      <c r="B26" s="59" t="s">
        <v>34</v>
      </c>
      <c r="C26" s="60"/>
      <c r="D26" s="61"/>
      <c r="E26" s="62"/>
      <c r="F26" s="63"/>
      <c r="G26" s="35"/>
      <c r="H26" s="35" t="str">
        <f>IF(OR(ISBLANK(CronogramaDeProjeto!Início_da_tarefa),ISBLANK(CronogramaDeProjeto!Término_da_tarefa)),"",CronogramaDeProjeto!Término_da_tarefa-CronogramaDeProjeto!Início_da_tarefa+1)</f>
        <v/>
      </c>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row>
    <row r="27" ht="30.0" customHeight="1">
      <c r="A27" s="8"/>
      <c r="B27" s="64" t="s">
        <v>23</v>
      </c>
      <c r="C27" s="65"/>
      <c r="D27" s="66"/>
      <c r="E27" s="67" t="s">
        <v>35</v>
      </c>
      <c r="F27" s="67" t="s">
        <v>35</v>
      </c>
      <c r="G27" s="35"/>
      <c r="H27" s="35" t="str">
        <f>IF(OR(ISBLANK(CronogramaDeProjeto!Início_da_tarefa),ISBLANK(CronogramaDeProjeto!Término_da_tarefa)),"",CronogramaDeProjeto!Término_da_tarefa-CronogramaDeProjeto!Início_da_tarefa+1)</f>
        <v/>
      </c>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row>
    <row r="28" ht="30.0" customHeight="1">
      <c r="A28" s="8"/>
      <c r="B28" s="64" t="s">
        <v>26</v>
      </c>
      <c r="C28" s="65"/>
      <c r="D28" s="66"/>
      <c r="E28" s="67" t="s">
        <v>35</v>
      </c>
      <c r="F28" s="67" t="s">
        <v>35</v>
      </c>
      <c r="G28" s="35"/>
      <c r="H28" s="35" t="str">
        <f>IF(OR(ISBLANK(CronogramaDeProjeto!Início_da_tarefa),ISBLANK(CronogramaDeProjeto!Término_da_tarefa)),"",CronogramaDeProjeto!Término_da_tarefa-CronogramaDeProjeto!Início_da_tarefa+1)</f>
        <v/>
      </c>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row>
    <row r="29" ht="30.0" customHeight="1">
      <c r="A29" s="8"/>
      <c r="B29" s="64" t="s">
        <v>27</v>
      </c>
      <c r="C29" s="65"/>
      <c r="D29" s="66"/>
      <c r="E29" s="67" t="s">
        <v>35</v>
      </c>
      <c r="F29" s="67" t="s">
        <v>35</v>
      </c>
      <c r="G29" s="35"/>
      <c r="H29" s="35" t="str">
        <f>IF(OR(ISBLANK(CronogramaDeProjeto!Início_da_tarefa),ISBLANK(CronogramaDeProjeto!Término_da_tarefa)),"",CronogramaDeProjeto!Término_da_tarefa-CronogramaDeProjeto!Início_da_tarefa+1)</f>
        <v/>
      </c>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row>
    <row r="30" ht="30.0" customHeight="1">
      <c r="A30" s="8"/>
      <c r="B30" s="64" t="s">
        <v>28</v>
      </c>
      <c r="C30" s="65"/>
      <c r="D30" s="66"/>
      <c r="E30" s="67" t="s">
        <v>35</v>
      </c>
      <c r="F30" s="67" t="s">
        <v>35</v>
      </c>
      <c r="G30" s="35"/>
      <c r="H30" s="35" t="str">
        <f>IF(OR(ISBLANK(CronogramaDeProjeto!Início_da_tarefa),ISBLANK(CronogramaDeProjeto!Término_da_tarefa)),"",CronogramaDeProjeto!Término_da_tarefa-CronogramaDeProjeto!Início_da_tarefa+1)</f>
        <v/>
      </c>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row>
    <row r="31" ht="30.0" customHeight="1">
      <c r="A31" s="8"/>
      <c r="B31" s="64" t="s">
        <v>29</v>
      </c>
      <c r="C31" s="65"/>
      <c r="D31" s="66"/>
      <c r="E31" s="67" t="s">
        <v>35</v>
      </c>
      <c r="F31" s="67" t="s">
        <v>35</v>
      </c>
      <c r="G31" s="35"/>
      <c r="H31" s="35" t="str">
        <f>IF(OR(ISBLANK(CronogramaDeProjeto!Início_da_tarefa),ISBLANK(CronogramaDeProjeto!Término_da_tarefa)),"",CronogramaDeProjeto!Término_da_tarefa-CronogramaDeProjeto!Início_da_tarefa+1)</f>
        <v/>
      </c>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row>
    <row r="32" ht="30.0" customHeight="1">
      <c r="A32" s="8" t="s">
        <v>36</v>
      </c>
      <c r="B32" s="68"/>
      <c r="C32" s="69"/>
      <c r="D32" s="70"/>
      <c r="E32" s="71"/>
      <c r="F32" s="71"/>
      <c r="G32" s="35"/>
      <c r="H32" s="35" t="str">
        <f>IF(OR(ISBLANK(CronogramaDeProjeto!Início_da_tarefa),ISBLANK(CronogramaDeProjeto!Término_da_tarefa)),"",CronogramaDeProjeto!Término_da_tarefa-CronogramaDeProjeto!Início_da_tarefa+1)</f>
        <v/>
      </c>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ht="30.0" customHeight="1">
      <c r="A33" s="1" t="s">
        <v>37</v>
      </c>
      <c r="B33" s="72" t="s">
        <v>38</v>
      </c>
      <c r="C33" s="73"/>
      <c r="D33" s="74"/>
      <c r="E33" s="75"/>
      <c r="F33" s="76"/>
      <c r="G33" s="77"/>
      <c r="H33" s="77" t="str">
        <f>IF(OR(ISBLANK(CronogramaDeProjeto!Início_da_tarefa),ISBLANK(CronogramaDeProjeto!Término_da_tarefa)),"",CronogramaDeProjeto!Término_da_tarefa-CronogramaDeProjeto!Início_da_tarefa+1)</f>
        <v/>
      </c>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row>
    <row r="34" ht="30.0" customHeight="1">
      <c r="A34" s="8"/>
      <c r="E34" s="10"/>
      <c r="G34" s="79"/>
    </row>
    <row r="35" ht="30.0" customHeight="1">
      <c r="A35" s="8"/>
      <c r="C35" s="80"/>
      <c r="E35" s="10"/>
      <c r="F35" s="81"/>
    </row>
    <row r="36" ht="30.0" customHeight="1">
      <c r="A36" s="8"/>
      <c r="C36" s="82"/>
      <c r="E36" s="10"/>
    </row>
    <row r="37" ht="30.0" customHeight="1">
      <c r="A37" s="8"/>
      <c r="E37" s="10"/>
    </row>
    <row r="38" ht="30.0" customHeight="1">
      <c r="A38" s="8"/>
      <c r="E38" s="10"/>
    </row>
    <row r="39" ht="30.0" customHeight="1">
      <c r="A39" s="8"/>
      <c r="E39" s="10"/>
    </row>
    <row r="40" ht="30.0" customHeight="1">
      <c r="A40" s="8"/>
      <c r="E40" s="10"/>
    </row>
    <row r="41" ht="30.0" customHeight="1">
      <c r="A41" s="8"/>
      <c r="E41" s="10"/>
    </row>
    <row r="42" ht="30.0" customHeight="1">
      <c r="A42" s="8"/>
      <c r="E42" s="10"/>
    </row>
    <row r="43" ht="30.0" customHeight="1">
      <c r="A43" s="8"/>
      <c r="E43" s="10"/>
    </row>
    <row r="44" ht="30.0" customHeight="1">
      <c r="A44" s="8"/>
      <c r="E44" s="10"/>
    </row>
    <row r="45" ht="30.0" customHeight="1">
      <c r="A45" s="8"/>
      <c r="E45" s="10"/>
    </row>
    <row r="46" ht="30.0" customHeight="1">
      <c r="A46" s="8"/>
      <c r="E46" s="10"/>
    </row>
    <row r="47" ht="30.0" customHeight="1">
      <c r="A47" s="8"/>
      <c r="E47" s="10"/>
    </row>
    <row r="48" ht="30.0" customHeight="1">
      <c r="A48" s="8"/>
      <c r="E48" s="10"/>
    </row>
    <row r="49" ht="30.0" customHeight="1">
      <c r="A49" s="8"/>
      <c r="E49" s="10"/>
    </row>
    <row r="50" ht="30.0" customHeight="1">
      <c r="A50" s="8"/>
      <c r="E50" s="10"/>
    </row>
    <row r="51" ht="30.0" customHeight="1">
      <c r="A51" s="8"/>
      <c r="E51" s="10"/>
    </row>
    <row r="52" ht="30.0" customHeight="1">
      <c r="A52" s="8"/>
      <c r="E52" s="10"/>
    </row>
    <row r="53" ht="30.0" customHeight="1">
      <c r="A53" s="8"/>
      <c r="E53" s="10"/>
    </row>
    <row r="54" ht="30.0" customHeight="1">
      <c r="A54" s="8"/>
      <c r="E54" s="10"/>
    </row>
    <row r="55" ht="30.0" customHeight="1">
      <c r="A55" s="8"/>
      <c r="E55" s="10"/>
    </row>
    <row r="56" ht="30.0" customHeight="1">
      <c r="A56" s="8"/>
      <c r="E56" s="10"/>
    </row>
    <row r="57" ht="30.0" customHeight="1">
      <c r="A57" s="8"/>
      <c r="E57" s="10"/>
    </row>
    <row r="58" ht="30.0" customHeight="1">
      <c r="A58" s="8"/>
      <c r="E58" s="10"/>
    </row>
    <row r="59" ht="30.0" customHeight="1">
      <c r="A59" s="8"/>
      <c r="E59" s="10"/>
    </row>
    <row r="60" ht="30.0" customHeight="1">
      <c r="A60" s="8"/>
      <c r="E60" s="10"/>
    </row>
    <row r="61" ht="30.0" customHeight="1">
      <c r="A61" s="8"/>
      <c r="E61" s="10"/>
    </row>
    <row r="62" ht="30.0" customHeight="1">
      <c r="A62" s="8"/>
      <c r="E62" s="10"/>
    </row>
    <row r="63" ht="30.0" customHeight="1">
      <c r="A63" s="8"/>
      <c r="E63" s="10"/>
    </row>
    <row r="64" ht="30.0" customHeight="1">
      <c r="A64" s="8"/>
      <c r="E64" s="10"/>
    </row>
    <row r="65" ht="30.0" customHeight="1">
      <c r="A65" s="8"/>
      <c r="E65" s="10"/>
    </row>
    <row r="66" ht="30.0" customHeight="1">
      <c r="A66" s="8"/>
      <c r="E66" s="10"/>
    </row>
    <row r="67" ht="30.0" customHeight="1">
      <c r="A67" s="8"/>
      <c r="E67" s="10"/>
    </row>
    <row r="68" ht="30.0" customHeight="1">
      <c r="A68" s="8"/>
      <c r="E68" s="10"/>
    </row>
    <row r="69" ht="30.0" customHeight="1">
      <c r="A69" s="8"/>
      <c r="E69" s="10"/>
    </row>
    <row r="70" ht="30.0" customHeight="1">
      <c r="A70" s="8"/>
      <c r="E70" s="10"/>
    </row>
    <row r="71" ht="30.0" customHeight="1">
      <c r="A71" s="8"/>
      <c r="E71" s="10"/>
    </row>
    <row r="72" ht="30.0" customHeight="1">
      <c r="A72" s="8"/>
      <c r="E72" s="10"/>
    </row>
    <row r="73" ht="30.0" customHeight="1">
      <c r="A73" s="8"/>
      <c r="E73" s="10"/>
    </row>
    <row r="74" ht="30.0" customHeight="1">
      <c r="A74" s="8"/>
      <c r="E74" s="10"/>
    </row>
    <row r="75" ht="30.0" customHeight="1">
      <c r="A75" s="8"/>
      <c r="E75" s="10"/>
    </row>
    <row r="76" ht="30.0" customHeight="1">
      <c r="A76" s="8"/>
      <c r="E76" s="10"/>
    </row>
    <row r="77" ht="30.0" customHeight="1">
      <c r="A77" s="8"/>
      <c r="E77" s="10"/>
    </row>
    <row r="78" ht="30.0" customHeight="1">
      <c r="A78" s="8"/>
      <c r="E78" s="10"/>
    </row>
    <row r="79" ht="30.0" customHeight="1">
      <c r="A79" s="8"/>
      <c r="E79" s="10"/>
    </row>
    <row r="80" ht="30.0" customHeight="1">
      <c r="A80" s="8"/>
      <c r="E80" s="10"/>
    </row>
    <row r="81" ht="30.0" customHeight="1">
      <c r="A81" s="8"/>
      <c r="E81" s="10"/>
    </row>
    <row r="82" ht="30.0" customHeight="1">
      <c r="A82" s="8"/>
      <c r="E82" s="10"/>
    </row>
    <row r="83" ht="30.0" customHeight="1">
      <c r="A83" s="8"/>
      <c r="E83" s="10"/>
    </row>
    <row r="84" ht="30.0" customHeight="1">
      <c r="A84" s="8"/>
      <c r="E84" s="10"/>
    </row>
    <row r="85" ht="30.0" customHeight="1">
      <c r="A85" s="8"/>
      <c r="E85" s="10"/>
    </row>
    <row r="86" ht="30.0" customHeight="1">
      <c r="A86" s="8"/>
      <c r="E86" s="10"/>
    </row>
    <row r="87" ht="30.0" customHeight="1">
      <c r="A87" s="8"/>
      <c r="E87" s="10"/>
    </row>
    <row r="88" ht="30.0" customHeight="1">
      <c r="A88" s="8"/>
      <c r="E88" s="10"/>
    </row>
    <row r="89" ht="30.0" customHeight="1">
      <c r="A89" s="8"/>
      <c r="E89" s="10"/>
    </row>
    <row r="90" ht="30.0" customHeight="1">
      <c r="A90" s="8"/>
      <c r="E90" s="10"/>
    </row>
    <row r="91" ht="30.0" customHeight="1">
      <c r="A91" s="8"/>
      <c r="E91" s="10"/>
    </row>
    <row r="92" ht="30.0" customHeight="1">
      <c r="A92" s="8"/>
      <c r="E92" s="10"/>
    </row>
    <row r="93" ht="30.0" customHeight="1">
      <c r="A93" s="8"/>
      <c r="E93" s="10"/>
    </row>
    <row r="94" ht="30.0" customHeight="1">
      <c r="A94" s="8"/>
      <c r="E94" s="10"/>
    </row>
    <row r="95" ht="30.0" customHeight="1">
      <c r="A95" s="8"/>
      <c r="E95" s="10"/>
    </row>
    <row r="96" ht="30.0" customHeight="1">
      <c r="A96" s="8"/>
      <c r="E96" s="10"/>
    </row>
    <row r="97" ht="30.0" customHeight="1">
      <c r="A97" s="8"/>
      <c r="E97" s="10"/>
    </row>
    <row r="98" ht="30.0" customHeight="1">
      <c r="A98" s="8"/>
      <c r="E98" s="10"/>
    </row>
    <row r="99" ht="30.0" customHeight="1">
      <c r="A99" s="8"/>
      <c r="E99" s="10"/>
    </row>
    <row r="100" ht="30.0" customHeight="1">
      <c r="A100" s="8"/>
      <c r="E100" s="10"/>
    </row>
  </sheetData>
  <mergeCells count="11">
    <mergeCell ref="AD4:AJ4"/>
    <mergeCell ref="AK4:AQ4"/>
    <mergeCell ref="AR4:AX4"/>
    <mergeCell ref="AY4:BE4"/>
    <mergeCell ref="BF4:BL4"/>
    <mergeCell ref="E3:F3"/>
    <mergeCell ref="I4:O4"/>
    <mergeCell ref="P4:V4"/>
    <mergeCell ref="W4:AC4"/>
    <mergeCell ref="C3:D3"/>
    <mergeCell ref="C4:D4"/>
  </mergeCells>
  <conditionalFormatting sqref="I5:BL33">
    <cfRule type="expression" dxfId="0" priority="1">
      <formula>AND(TODAY()&gt;=I$5,TODAY()&lt;J$5)</formula>
    </cfRule>
  </conditionalFormatting>
  <dataValidations>
    <dataValidation type="decimal" operator="greaterThanOrEqual" allowBlank="1" showInputMessage="1" prompt="Semana de exibição - Alterar esse número rola a exibição do Gráfico de Gantt." sqref="E4">
      <formula1>1.0</formula1>
    </dataValidation>
  </dataValidations>
  <hyperlinks>
    <hyperlink r:id="rId1" ref="I1"/>
    <hyperlink r:id="rId2" ref="I2"/>
  </hyperlinks>
  <printOptions horizontalCentered="1"/>
  <pageMargins bottom="0.5" footer="0.0" header="0.0" left="0.35" right="0.35" top="0.35"/>
  <pageSetup fitToHeight="0" paperSize="9" orientation="landscape"/>
  <headerFooter>
    <oddFooter/>
  </headerFooter>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94.43"/>
    <col customWidth="1" min="2" max="11" width="9.14"/>
  </cols>
  <sheetData>
    <row r="1" ht="46.5" customHeight="1">
      <c r="A1" s="83"/>
      <c r="B1" s="4"/>
      <c r="C1" s="4"/>
      <c r="D1" s="4"/>
      <c r="E1" s="4"/>
      <c r="F1" s="4"/>
      <c r="G1" s="4"/>
      <c r="H1" s="4"/>
      <c r="I1" s="4"/>
      <c r="J1" s="4"/>
      <c r="K1" s="4"/>
    </row>
    <row r="2" ht="12.75" customHeight="1">
      <c r="A2" s="84" t="s">
        <v>2</v>
      </c>
      <c r="B2" s="85"/>
      <c r="C2" s="86"/>
      <c r="D2" s="86"/>
      <c r="E2" s="86"/>
      <c r="F2" s="86"/>
      <c r="G2" s="86"/>
      <c r="H2" s="86"/>
      <c r="I2" s="86"/>
      <c r="J2" s="86"/>
      <c r="K2" s="86"/>
    </row>
    <row r="3" ht="27.0" customHeight="1">
      <c r="A3" s="87" t="s">
        <v>5</v>
      </c>
      <c r="B3" s="88"/>
      <c r="C3" s="89"/>
      <c r="D3" s="89"/>
      <c r="E3" s="89"/>
      <c r="F3" s="89"/>
      <c r="G3" s="89"/>
      <c r="H3" s="89"/>
      <c r="I3" s="89"/>
      <c r="J3" s="89"/>
      <c r="K3" s="89"/>
    </row>
    <row r="4" ht="12.75" customHeight="1">
      <c r="A4" s="90" t="s">
        <v>39</v>
      </c>
      <c r="B4" s="91"/>
      <c r="C4" s="91"/>
      <c r="D4" s="91"/>
      <c r="E4" s="91"/>
      <c r="F4" s="91"/>
      <c r="G4" s="91"/>
      <c r="H4" s="91"/>
      <c r="I4" s="91"/>
      <c r="J4" s="91"/>
      <c r="K4" s="91"/>
    </row>
    <row r="5" ht="73.5" customHeight="1">
      <c r="A5" s="92" t="s">
        <v>40</v>
      </c>
      <c r="B5" s="4"/>
      <c r="C5" s="4"/>
      <c r="D5" s="4"/>
      <c r="E5" s="4"/>
      <c r="F5" s="4"/>
      <c r="G5" s="4"/>
      <c r="H5" s="4"/>
      <c r="I5" s="4"/>
      <c r="J5" s="4"/>
      <c r="K5" s="4"/>
    </row>
    <row r="6" ht="26.25" customHeight="1">
      <c r="A6" s="90" t="s">
        <v>41</v>
      </c>
      <c r="B6" s="4"/>
      <c r="C6" s="4"/>
      <c r="D6" s="4"/>
      <c r="E6" s="4"/>
      <c r="F6" s="4"/>
      <c r="G6" s="4"/>
      <c r="H6" s="4"/>
      <c r="I6" s="4"/>
      <c r="J6" s="4"/>
      <c r="K6" s="4"/>
    </row>
    <row r="7" ht="204.75" customHeight="1">
      <c r="A7" s="93" t="s">
        <v>42</v>
      </c>
      <c r="B7" s="83"/>
      <c r="C7" s="83"/>
      <c r="D7" s="83"/>
      <c r="E7" s="83"/>
      <c r="F7" s="83"/>
      <c r="G7" s="83"/>
      <c r="H7" s="83"/>
      <c r="I7" s="83"/>
      <c r="J7" s="83"/>
      <c r="K7" s="83"/>
    </row>
    <row r="8" ht="12.75" customHeight="1">
      <c r="A8" s="90" t="s">
        <v>43</v>
      </c>
      <c r="B8" s="91"/>
      <c r="C8" s="91"/>
      <c r="D8" s="91"/>
      <c r="E8" s="91"/>
      <c r="F8" s="91"/>
      <c r="G8" s="91"/>
      <c r="H8" s="91"/>
      <c r="I8" s="91"/>
      <c r="J8" s="91"/>
      <c r="K8" s="91"/>
    </row>
    <row r="9" ht="12.75" customHeight="1">
      <c r="A9" s="92" t="s">
        <v>44</v>
      </c>
      <c r="B9" s="4"/>
      <c r="C9" s="4"/>
      <c r="D9" s="4"/>
      <c r="E9" s="4"/>
      <c r="F9" s="4"/>
      <c r="G9" s="4"/>
      <c r="H9" s="4"/>
      <c r="I9" s="4"/>
      <c r="J9" s="4"/>
      <c r="K9" s="4"/>
    </row>
    <row r="10" ht="27.75" customHeight="1">
      <c r="A10" s="94" t="s">
        <v>45</v>
      </c>
      <c r="B10" s="83"/>
      <c r="C10" s="83"/>
      <c r="D10" s="83"/>
      <c r="E10" s="83"/>
      <c r="F10" s="83"/>
      <c r="G10" s="83"/>
      <c r="H10" s="83"/>
      <c r="I10" s="83"/>
      <c r="J10" s="83"/>
      <c r="K10" s="83"/>
    </row>
    <row r="11" ht="12.75" customHeight="1">
      <c r="A11" s="90" t="s">
        <v>46</v>
      </c>
      <c r="B11" s="91"/>
      <c r="C11" s="91"/>
      <c r="D11" s="91"/>
      <c r="E11" s="91"/>
      <c r="F11" s="91"/>
      <c r="G11" s="91"/>
      <c r="H11" s="91"/>
      <c r="I11" s="91"/>
      <c r="J11" s="91"/>
      <c r="K11" s="91"/>
    </row>
    <row r="12" ht="12.75" customHeight="1">
      <c r="A12" s="92" t="s">
        <v>47</v>
      </c>
      <c r="B12" s="4"/>
      <c r="C12" s="4"/>
      <c r="D12" s="4"/>
      <c r="E12" s="4"/>
      <c r="F12" s="4"/>
      <c r="G12" s="4"/>
      <c r="H12" s="4"/>
      <c r="I12" s="4"/>
      <c r="J12" s="4"/>
      <c r="K12" s="4"/>
    </row>
    <row r="13" ht="27.75" customHeight="1">
      <c r="A13" s="94" t="s">
        <v>48</v>
      </c>
      <c r="B13" s="83"/>
      <c r="C13" s="83"/>
      <c r="D13" s="83"/>
      <c r="E13" s="83"/>
      <c r="F13" s="83"/>
      <c r="G13" s="83"/>
      <c r="H13" s="83"/>
      <c r="I13" s="83"/>
      <c r="J13" s="83"/>
      <c r="K13" s="83"/>
    </row>
    <row r="14" ht="12.75" customHeight="1">
      <c r="A14" s="90" t="s">
        <v>49</v>
      </c>
      <c r="B14" s="91"/>
      <c r="C14" s="91"/>
      <c r="D14" s="91"/>
      <c r="E14" s="91"/>
      <c r="F14" s="91"/>
      <c r="G14" s="91"/>
      <c r="H14" s="91"/>
      <c r="I14" s="91"/>
      <c r="J14" s="91"/>
      <c r="K14" s="91"/>
    </row>
    <row r="15" ht="75.0" customHeight="1">
      <c r="A15" s="92" t="s">
        <v>50</v>
      </c>
      <c r="B15" s="4"/>
      <c r="C15" s="4"/>
      <c r="D15" s="4"/>
      <c r="E15" s="4"/>
      <c r="F15" s="4"/>
      <c r="G15" s="4"/>
      <c r="H15" s="4"/>
      <c r="I15" s="4"/>
      <c r="J15" s="4"/>
      <c r="K15" s="4"/>
    </row>
    <row r="16" ht="75.0" customHeight="1">
      <c r="A16" s="92" t="s">
        <v>51</v>
      </c>
      <c r="B16" s="4"/>
      <c r="C16" s="4"/>
      <c r="D16" s="4"/>
      <c r="E16" s="4"/>
      <c r="F16" s="4"/>
      <c r="G16" s="4"/>
      <c r="H16" s="4"/>
      <c r="I16" s="4"/>
      <c r="J16" s="4"/>
      <c r="K16" s="4"/>
    </row>
    <row r="17" ht="12.75" customHeight="1">
      <c r="A17" s="83"/>
      <c r="B17" s="4"/>
      <c r="C17" s="4"/>
      <c r="D17" s="4"/>
      <c r="E17" s="4"/>
      <c r="F17" s="4"/>
      <c r="G17" s="4"/>
      <c r="H17" s="4"/>
      <c r="I17" s="4"/>
      <c r="J17" s="4"/>
      <c r="K17" s="4"/>
    </row>
    <row r="18" ht="12.75" customHeight="1">
      <c r="A18" s="83"/>
      <c r="B18" s="4"/>
      <c r="C18" s="4"/>
      <c r="D18" s="4"/>
      <c r="E18" s="4"/>
      <c r="F18" s="4"/>
      <c r="G18" s="4"/>
      <c r="H18" s="4"/>
      <c r="I18" s="4"/>
      <c r="J18" s="4"/>
      <c r="K18" s="4"/>
    </row>
    <row r="19" ht="12.75" customHeight="1">
      <c r="A19" s="83"/>
      <c r="B19" s="4"/>
      <c r="C19" s="4"/>
      <c r="D19" s="4"/>
      <c r="E19" s="4"/>
      <c r="F19" s="4"/>
      <c r="G19" s="4"/>
      <c r="H19" s="4"/>
      <c r="I19" s="4"/>
      <c r="J19" s="4"/>
      <c r="K19" s="4"/>
    </row>
    <row r="20" ht="12.75" customHeight="1">
      <c r="A20" s="83"/>
      <c r="B20" s="4"/>
      <c r="C20" s="4"/>
      <c r="D20" s="4"/>
      <c r="E20" s="4"/>
      <c r="F20" s="4"/>
      <c r="G20" s="4"/>
      <c r="H20" s="4"/>
      <c r="I20" s="4"/>
      <c r="J20" s="4"/>
      <c r="K20" s="4"/>
    </row>
    <row r="21" ht="12.75" customHeight="1">
      <c r="A21" s="83"/>
      <c r="B21" s="4"/>
      <c r="C21" s="4"/>
      <c r="D21" s="4"/>
      <c r="E21" s="4"/>
      <c r="F21" s="4"/>
      <c r="G21" s="4"/>
      <c r="H21" s="4"/>
      <c r="I21" s="4"/>
      <c r="J21" s="4"/>
      <c r="K21" s="4"/>
    </row>
    <row r="22" ht="12.75" customHeight="1">
      <c r="A22" s="83"/>
      <c r="B22" s="4"/>
      <c r="C22" s="4"/>
      <c r="D22" s="4"/>
      <c r="E22" s="4"/>
      <c r="F22" s="4"/>
      <c r="G22" s="4"/>
      <c r="H22" s="4"/>
      <c r="I22" s="4"/>
      <c r="J22" s="4"/>
      <c r="K22" s="4"/>
    </row>
    <row r="23" ht="12.75" customHeight="1">
      <c r="A23" s="83"/>
      <c r="B23" s="4"/>
      <c r="C23" s="4"/>
      <c r="D23" s="4"/>
      <c r="E23" s="4"/>
      <c r="F23" s="4"/>
      <c r="G23" s="4"/>
      <c r="H23" s="4"/>
      <c r="I23" s="4"/>
      <c r="J23" s="4"/>
      <c r="K23" s="4"/>
    </row>
    <row r="24" ht="12.75" customHeight="1">
      <c r="A24" s="83"/>
      <c r="B24" s="4"/>
      <c r="C24" s="4"/>
      <c r="D24" s="4"/>
      <c r="E24" s="4"/>
      <c r="F24" s="4"/>
      <c r="G24" s="4"/>
      <c r="H24" s="4"/>
      <c r="I24" s="4"/>
      <c r="J24" s="4"/>
      <c r="K24" s="4"/>
    </row>
    <row r="25" ht="12.75" customHeight="1">
      <c r="A25" s="83"/>
      <c r="B25" s="4"/>
      <c r="C25" s="4"/>
      <c r="D25" s="4"/>
      <c r="E25" s="4"/>
      <c r="F25" s="4"/>
      <c r="G25" s="4"/>
      <c r="H25" s="4"/>
      <c r="I25" s="4"/>
      <c r="J25" s="4"/>
      <c r="K25" s="4"/>
    </row>
    <row r="26" ht="12.75" customHeight="1">
      <c r="A26" s="83"/>
      <c r="B26" s="4"/>
      <c r="C26" s="4"/>
      <c r="D26" s="4"/>
      <c r="E26" s="4"/>
      <c r="F26" s="4"/>
      <c r="G26" s="4"/>
      <c r="H26" s="4"/>
      <c r="I26" s="4"/>
      <c r="J26" s="4"/>
      <c r="K26" s="4"/>
    </row>
    <row r="27" ht="12.75" customHeight="1">
      <c r="A27" s="83"/>
      <c r="B27" s="4"/>
      <c r="C27" s="4"/>
      <c r="D27" s="4"/>
      <c r="E27" s="4"/>
      <c r="F27" s="4"/>
      <c r="G27" s="4"/>
      <c r="H27" s="4"/>
      <c r="I27" s="4"/>
      <c r="J27" s="4"/>
      <c r="K27" s="4"/>
    </row>
    <row r="28" ht="12.75" customHeight="1">
      <c r="A28" s="83"/>
      <c r="B28" s="4"/>
      <c r="C28" s="4"/>
      <c r="D28" s="4"/>
      <c r="E28" s="4"/>
      <c r="F28" s="4"/>
      <c r="G28" s="4"/>
      <c r="H28" s="4"/>
      <c r="I28" s="4"/>
      <c r="J28" s="4"/>
      <c r="K28" s="4"/>
    </row>
    <row r="29" ht="12.75" customHeight="1">
      <c r="A29" s="83"/>
      <c r="B29" s="4"/>
      <c r="C29" s="4"/>
      <c r="D29" s="4"/>
      <c r="E29" s="4"/>
      <c r="F29" s="4"/>
      <c r="G29" s="4"/>
      <c r="H29" s="4"/>
      <c r="I29" s="4"/>
      <c r="J29" s="4"/>
      <c r="K29" s="4"/>
    </row>
    <row r="30" ht="12.75" customHeight="1">
      <c r="A30" s="83"/>
      <c r="B30" s="4"/>
      <c r="C30" s="4"/>
      <c r="D30" s="4"/>
      <c r="E30" s="4"/>
      <c r="F30" s="4"/>
      <c r="G30" s="4"/>
      <c r="H30" s="4"/>
      <c r="I30" s="4"/>
      <c r="J30" s="4"/>
      <c r="K30" s="4"/>
    </row>
    <row r="31" ht="12.75" customHeight="1">
      <c r="A31" s="83"/>
      <c r="B31" s="4"/>
      <c r="C31" s="4"/>
      <c r="D31" s="4"/>
      <c r="E31" s="4"/>
      <c r="F31" s="4"/>
      <c r="G31" s="4"/>
      <c r="H31" s="4"/>
      <c r="I31" s="4"/>
      <c r="J31" s="4"/>
      <c r="K31" s="4"/>
    </row>
    <row r="32" ht="12.75" customHeight="1">
      <c r="A32" s="83"/>
      <c r="B32" s="4"/>
      <c r="C32" s="4"/>
      <c r="D32" s="4"/>
      <c r="E32" s="4"/>
      <c r="F32" s="4"/>
      <c r="G32" s="4"/>
      <c r="H32" s="4"/>
      <c r="I32" s="4"/>
      <c r="J32" s="4"/>
      <c r="K32" s="4"/>
    </row>
    <row r="33" ht="12.75" customHeight="1">
      <c r="A33" s="83"/>
      <c r="B33" s="4"/>
      <c r="C33" s="4"/>
      <c r="D33" s="4"/>
      <c r="E33" s="4"/>
      <c r="F33" s="4"/>
      <c r="G33" s="4"/>
      <c r="H33" s="4"/>
      <c r="I33" s="4"/>
      <c r="J33" s="4"/>
      <c r="K33" s="4"/>
    </row>
    <row r="34" ht="12.75" customHeight="1">
      <c r="A34" s="83"/>
      <c r="B34" s="4"/>
      <c r="C34" s="4"/>
      <c r="D34" s="4"/>
      <c r="E34" s="4"/>
      <c r="F34" s="4"/>
      <c r="G34" s="4"/>
      <c r="H34" s="4"/>
      <c r="I34" s="4"/>
      <c r="J34" s="4"/>
      <c r="K34" s="4"/>
    </row>
    <row r="35" ht="12.75" customHeight="1">
      <c r="A35" s="83"/>
      <c r="B35" s="4"/>
      <c r="C35" s="4"/>
      <c r="D35" s="4"/>
      <c r="E35" s="4"/>
      <c r="F35" s="4"/>
      <c r="G35" s="4"/>
      <c r="H35" s="4"/>
      <c r="I35" s="4"/>
      <c r="J35" s="4"/>
      <c r="K35" s="4"/>
    </row>
    <row r="36" ht="12.75" customHeight="1">
      <c r="A36" s="83"/>
      <c r="B36" s="4"/>
      <c r="C36" s="4"/>
      <c r="D36" s="4"/>
      <c r="E36" s="4"/>
      <c r="F36" s="4"/>
      <c r="G36" s="4"/>
      <c r="H36" s="4"/>
      <c r="I36" s="4"/>
      <c r="J36" s="4"/>
      <c r="K36" s="4"/>
    </row>
    <row r="37" ht="12.75" customHeight="1">
      <c r="A37" s="83"/>
      <c r="B37" s="4"/>
      <c r="C37" s="4"/>
      <c r="D37" s="4"/>
      <c r="E37" s="4"/>
      <c r="F37" s="4"/>
      <c r="G37" s="4"/>
      <c r="H37" s="4"/>
      <c r="I37" s="4"/>
      <c r="J37" s="4"/>
      <c r="K37" s="4"/>
    </row>
    <row r="38" ht="12.75" customHeight="1">
      <c r="A38" s="83"/>
      <c r="B38" s="4"/>
      <c r="C38" s="4"/>
      <c r="D38" s="4"/>
      <c r="E38" s="4"/>
      <c r="F38" s="4"/>
      <c r="G38" s="4"/>
      <c r="H38" s="4"/>
      <c r="I38" s="4"/>
      <c r="J38" s="4"/>
      <c r="K38" s="4"/>
    </row>
    <row r="39" ht="12.75" customHeight="1">
      <c r="A39" s="83"/>
      <c r="B39" s="4"/>
      <c r="C39" s="4"/>
      <c r="D39" s="4"/>
      <c r="E39" s="4"/>
      <c r="F39" s="4"/>
      <c r="G39" s="4"/>
      <c r="H39" s="4"/>
      <c r="I39" s="4"/>
      <c r="J39" s="4"/>
      <c r="K39" s="4"/>
    </row>
    <row r="40" ht="12.75" customHeight="1">
      <c r="A40" s="83"/>
      <c r="B40" s="4"/>
      <c r="C40" s="4"/>
      <c r="D40" s="4"/>
      <c r="E40" s="4"/>
      <c r="F40" s="4"/>
      <c r="G40" s="4"/>
      <c r="H40" s="4"/>
      <c r="I40" s="4"/>
      <c r="J40" s="4"/>
      <c r="K40" s="4"/>
    </row>
    <row r="41" ht="12.75" customHeight="1">
      <c r="A41" s="83"/>
      <c r="B41" s="4"/>
      <c r="C41" s="4"/>
      <c r="D41" s="4"/>
      <c r="E41" s="4"/>
      <c r="F41" s="4"/>
      <c r="G41" s="4"/>
      <c r="H41" s="4"/>
      <c r="I41" s="4"/>
      <c r="J41" s="4"/>
      <c r="K41" s="4"/>
    </row>
    <row r="42" ht="12.75" customHeight="1">
      <c r="A42" s="83"/>
      <c r="B42" s="4"/>
      <c r="C42" s="4"/>
      <c r="D42" s="4"/>
      <c r="E42" s="4"/>
      <c r="F42" s="4"/>
      <c r="G42" s="4"/>
      <c r="H42" s="4"/>
      <c r="I42" s="4"/>
      <c r="J42" s="4"/>
      <c r="K42" s="4"/>
    </row>
    <row r="43" ht="12.75" customHeight="1">
      <c r="A43" s="83"/>
      <c r="B43" s="4"/>
      <c r="C43" s="4"/>
      <c r="D43" s="4"/>
      <c r="E43" s="4"/>
      <c r="F43" s="4"/>
      <c r="G43" s="4"/>
      <c r="H43" s="4"/>
      <c r="I43" s="4"/>
      <c r="J43" s="4"/>
      <c r="K43" s="4"/>
    </row>
    <row r="44" ht="12.75" customHeight="1">
      <c r="A44" s="83"/>
      <c r="B44" s="4"/>
      <c r="C44" s="4"/>
      <c r="D44" s="4"/>
      <c r="E44" s="4"/>
      <c r="F44" s="4"/>
      <c r="G44" s="4"/>
      <c r="H44" s="4"/>
      <c r="I44" s="4"/>
      <c r="J44" s="4"/>
      <c r="K44" s="4"/>
    </row>
    <row r="45" ht="12.75" customHeight="1">
      <c r="A45" s="83"/>
      <c r="B45" s="4"/>
      <c r="C45" s="4"/>
      <c r="D45" s="4"/>
      <c r="E45" s="4"/>
      <c r="F45" s="4"/>
      <c r="G45" s="4"/>
      <c r="H45" s="4"/>
      <c r="I45" s="4"/>
      <c r="J45" s="4"/>
      <c r="K45" s="4"/>
    </row>
    <row r="46" ht="12.75" customHeight="1">
      <c r="A46" s="83"/>
      <c r="B46" s="4"/>
      <c r="C46" s="4"/>
      <c r="D46" s="4"/>
      <c r="E46" s="4"/>
      <c r="F46" s="4"/>
      <c r="G46" s="4"/>
      <c r="H46" s="4"/>
      <c r="I46" s="4"/>
      <c r="J46" s="4"/>
      <c r="K46" s="4"/>
    </row>
    <row r="47" ht="12.75" customHeight="1">
      <c r="A47" s="83"/>
      <c r="B47" s="4"/>
      <c r="C47" s="4"/>
      <c r="D47" s="4"/>
      <c r="E47" s="4"/>
      <c r="F47" s="4"/>
      <c r="G47" s="4"/>
      <c r="H47" s="4"/>
      <c r="I47" s="4"/>
      <c r="J47" s="4"/>
      <c r="K47" s="4"/>
    </row>
    <row r="48" ht="12.75" customHeight="1">
      <c r="A48" s="83"/>
      <c r="B48" s="4"/>
      <c r="C48" s="4"/>
      <c r="D48" s="4"/>
      <c r="E48" s="4"/>
      <c r="F48" s="4"/>
      <c r="G48" s="4"/>
      <c r="H48" s="4"/>
      <c r="I48" s="4"/>
      <c r="J48" s="4"/>
      <c r="K48" s="4"/>
    </row>
    <row r="49" ht="12.75" customHeight="1">
      <c r="A49" s="83"/>
      <c r="B49" s="4"/>
      <c r="C49" s="4"/>
      <c r="D49" s="4"/>
      <c r="E49" s="4"/>
      <c r="F49" s="4"/>
      <c r="G49" s="4"/>
      <c r="H49" s="4"/>
      <c r="I49" s="4"/>
      <c r="J49" s="4"/>
      <c r="K49" s="4"/>
    </row>
    <row r="50" ht="12.75" customHeight="1">
      <c r="A50" s="83"/>
      <c r="B50" s="4"/>
      <c r="C50" s="4"/>
      <c r="D50" s="4"/>
      <c r="E50" s="4"/>
      <c r="F50" s="4"/>
      <c r="G50" s="4"/>
      <c r="H50" s="4"/>
      <c r="I50" s="4"/>
      <c r="J50" s="4"/>
      <c r="K50" s="4"/>
    </row>
    <row r="51" ht="12.75" customHeight="1">
      <c r="A51" s="83"/>
      <c r="B51" s="4"/>
      <c r="C51" s="4"/>
      <c r="D51" s="4"/>
      <c r="E51" s="4"/>
      <c r="F51" s="4"/>
      <c r="G51" s="4"/>
      <c r="H51" s="4"/>
      <c r="I51" s="4"/>
      <c r="J51" s="4"/>
      <c r="K51" s="4"/>
    </row>
    <row r="52" ht="12.75" customHeight="1">
      <c r="A52" s="83"/>
      <c r="B52" s="4"/>
      <c r="C52" s="4"/>
      <c r="D52" s="4"/>
      <c r="E52" s="4"/>
      <c r="F52" s="4"/>
      <c r="G52" s="4"/>
      <c r="H52" s="4"/>
      <c r="I52" s="4"/>
      <c r="J52" s="4"/>
      <c r="K52" s="4"/>
    </row>
    <row r="53" ht="12.75" customHeight="1">
      <c r="A53" s="83"/>
      <c r="B53" s="4"/>
      <c r="C53" s="4"/>
      <c r="D53" s="4"/>
      <c r="E53" s="4"/>
      <c r="F53" s="4"/>
      <c r="G53" s="4"/>
      <c r="H53" s="4"/>
      <c r="I53" s="4"/>
      <c r="J53" s="4"/>
      <c r="K53" s="4"/>
    </row>
    <row r="54" ht="12.75" customHeight="1">
      <c r="A54" s="83"/>
      <c r="B54" s="4"/>
      <c r="C54" s="4"/>
      <c r="D54" s="4"/>
      <c r="E54" s="4"/>
      <c r="F54" s="4"/>
      <c r="G54" s="4"/>
      <c r="H54" s="4"/>
      <c r="I54" s="4"/>
      <c r="J54" s="4"/>
      <c r="K54" s="4"/>
    </row>
    <row r="55" ht="12.75" customHeight="1">
      <c r="A55" s="83"/>
      <c r="B55" s="4"/>
      <c r="C55" s="4"/>
      <c r="D55" s="4"/>
      <c r="E55" s="4"/>
      <c r="F55" s="4"/>
      <c r="G55" s="4"/>
      <c r="H55" s="4"/>
      <c r="I55" s="4"/>
      <c r="J55" s="4"/>
      <c r="K55" s="4"/>
    </row>
    <row r="56" ht="12.75" customHeight="1">
      <c r="A56" s="83"/>
      <c r="B56" s="4"/>
      <c r="C56" s="4"/>
      <c r="D56" s="4"/>
      <c r="E56" s="4"/>
      <c r="F56" s="4"/>
      <c r="G56" s="4"/>
      <c r="H56" s="4"/>
      <c r="I56" s="4"/>
      <c r="J56" s="4"/>
      <c r="K56" s="4"/>
    </row>
    <row r="57" ht="12.75" customHeight="1">
      <c r="A57" s="83"/>
      <c r="B57" s="4"/>
      <c r="C57" s="4"/>
      <c r="D57" s="4"/>
      <c r="E57" s="4"/>
      <c r="F57" s="4"/>
      <c r="G57" s="4"/>
      <c r="H57" s="4"/>
      <c r="I57" s="4"/>
      <c r="J57" s="4"/>
      <c r="K57" s="4"/>
    </row>
    <row r="58" ht="12.75" customHeight="1">
      <c r="A58" s="83"/>
      <c r="B58" s="4"/>
      <c r="C58" s="4"/>
      <c r="D58" s="4"/>
      <c r="E58" s="4"/>
      <c r="F58" s="4"/>
      <c r="G58" s="4"/>
      <c r="H58" s="4"/>
      <c r="I58" s="4"/>
      <c r="J58" s="4"/>
      <c r="K58" s="4"/>
    </row>
    <row r="59" ht="12.75" customHeight="1">
      <c r="A59" s="83"/>
      <c r="B59" s="4"/>
      <c r="C59" s="4"/>
      <c r="D59" s="4"/>
      <c r="E59" s="4"/>
      <c r="F59" s="4"/>
      <c r="G59" s="4"/>
      <c r="H59" s="4"/>
      <c r="I59" s="4"/>
      <c r="J59" s="4"/>
      <c r="K59" s="4"/>
    </row>
    <row r="60" ht="12.75" customHeight="1">
      <c r="A60" s="83"/>
      <c r="B60" s="4"/>
      <c r="C60" s="4"/>
      <c r="D60" s="4"/>
      <c r="E60" s="4"/>
      <c r="F60" s="4"/>
      <c r="G60" s="4"/>
      <c r="H60" s="4"/>
      <c r="I60" s="4"/>
      <c r="J60" s="4"/>
      <c r="K60" s="4"/>
    </row>
    <row r="61" ht="12.75" customHeight="1">
      <c r="A61" s="83"/>
      <c r="B61" s="4"/>
      <c r="C61" s="4"/>
      <c r="D61" s="4"/>
      <c r="E61" s="4"/>
      <c r="F61" s="4"/>
      <c r="G61" s="4"/>
      <c r="H61" s="4"/>
      <c r="I61" s="4"/>
      <c r="J61" s="4"/>
      <c r="K61" s="4"/>
    </row>
    <row r="62" ht="12.75" customHeight="1">
      <c r="A62" s="83"/>
      <c r="B62" s="4"/>
      <c r="C62" s="4"/>
      <c r="D62" s="4"/>
      <c r="E62" s="4"/>
      <c r="F62" s="4"/>
      <c r="G62" s="4"/>
      <c r="H62" s="4"/>
      <c r="I62" s="4"/>
      <c r="J62" s="4"/>
      <c r="K62" s="4"/>
    </row>
    <row r="63" ht="12.75" customHeight="1">
      <c r="A63" s="83"/>
      <c r="B63" s="4"/>
      <c r="C63" s="4"/>
      <c r="D63" s="4"/>
      <c r="E63" s="4"/>
      <c r="F63" s="4"/>
      <c r="G63" s="4"/>
      <c r="H63" s="4"/>
      <c r="I63" s="4"/>
      <c r="J63" s="4"/>
      <c r="K63" s="4"/>
    </row>
    <row r="64" ht="12.75" customHeight="1">
      <c r="A64" s="83"/>
      <c r="B64" s="4"/>
      <c r="C64" s="4"/>
      <c r="D64" s="4"/>
      <c r="E64" s="4"/>
      <c r="F64" s="4"/>
      <c r="G64" s="4"/>
      <c r="H64" s="4"/>
      <c r="I64" s="4"/>
      <c r="J64" s="4"/>
      <c r="K64" s="4"/>
    </row>
    <row r="65" ht="12.75" customHeight="1">
      <c r="A65" s="83"/>
      <c r="B65" s="4"/>
      <c r="C65" s="4"/>
      <c r="D65" s="4"/>
      <c r="E65" s="4"/>
      <c r="F65" s="4"/>
      <c r="G65" s="4"/>
      <c r="H65" s="4"/>
      <c r="I65" s="4"/>
      <c r="J65" s="4"/>
      <c r="K65" s="4"/>
    </row>
    <row r="66" ht="12.75" customHeight="1">
      <c r="A66" s="83"/>
      <c r="B66" s="4"/>
      <c r="C66" s="4"/>
      <c r="D66" s="4"/>
      <c r="E66" s="4"/>
      <c r="F66" s="4"/>
      <c r="G66" s="4"/>
      <c r="H66" s="4"/>
      <c r="I66" s="4"/>
      <c r="J66" s="4"/>
      <c r="K66" s="4"/>
    </row>
    <row r="67" ht="12.75" customHeight="1">
      <c r="A67" s="83"/>
      <c r="B67" s="4"/>
      <c r="C67" s="4"/>
      <c r="D67" s="4"/>
      <c r="E67" s="4"/>
      <c r="F67" s="4"/>
      <c r="G67" s="4"/>
      <c r="H67" s="4"/>
      <c r="I67" s="4"/>
      <c r="J67" s="4"/>
      <c r="K67" s="4"/>
    </row>
    <row r="68" ht="12.75" customHeight="1">
      <c r="A68" s="83"/>
      <c r="B68" s="4"/>
      <c r="C68" s="4"/>
      <c r="D68" s="4"/>
      <c r="E68" s="4"/>
      <c r="F68" s="4"/>
      <c r="G68" s="4"/>
      <c r="H68" s="4"/>
      <c r="I68" s="4"/>
      <c r="J68" s="4"/>
      <c r="K68" s="4"/>
    </row>
    <row r="69" ht="12.75" customHeight="1">
      <c r="A69" s="83"/>
      <c r="B69" s="4"/>
      <c r="C69" s="4"/>
      <c r="D69" s="4"/>
      <c r="E69" s="4"/>
      <c r="F69" s="4"/>
      <c r="G69" s="4"/>
      <c r="H69" s="4"/>
      <c r="I69" s="4"/>
      <c r="J69" s="4"/>
      <c r="K69" s="4"/>
    </row>
    <row r="70" ht="12.75" customHeight="1">
      <c r="A70" s="83"/>
      <c r="B70" s="4"/>
      <c r="C70" s="4"/>
      <c r="D70" s="4"/>
      <c r="E70" s="4"/>
      <c r="F70" s="4"/>
      <c r="G70" s="4"/>
      <c r="H70" s="4"/>
      <c r="I70" s="4"/>
      <c r="J70" s="4"/>
      <c r="K70" s="4"/>
    </row>
    <row r="71" ht="12.75" customHeight="1">
      <c r="A71" s="83"/>
      <c r="B71" s="4"/>
      <c r="C71" s="4"/>
      <c r="D71" s="4"/>
      <c r="E71" s="4"/>
      <c r="F71" s="4"/>
      <c r="G71" s="4"/>
      <c r="H71" s="4"/>
      <c r="I71" s="4"/>
      <c r="J71" s="4"/>
      <c r="K71" s="4"/>
    </row>
    <row r="72" ht="12.75" customHeight="1">
      <c r="A72" s="83"/>
      <c r="B72" s="4"/>
      <c r="C72" s="4"/>
      <c r="D72" s="4"/>
      <c r="E72" s="4"/>
      <c r="F72" s="4"/>
      <c r="G72" s="4"/>
      <c r="H72" s="4"/>
      <c r="I72" s="4"/>
      <c r="J72" s="4"/>
      <c r="K72" s="4"/>
    </row>
    <row r="73" ht="12.75" customHeight="1">
      <c r="A73" s="83"/>
      <c r="B73" s="4"/>
      <c r="C73" s="4"/>
      <c r="D73" s="4"/>
      <c r="E73" s="4"/>
      <c r="F73" s="4"/>
      <c r="G73" s="4"/>
      <c r="H73" s="4"/>
      <c r="I73" s="4"/>
      <c r="J73" s="4"/>
      <c r="K73" s="4"/>
    </row>
    <row r="74" ht="12.75" customHeight="1">
      <c r="A74" s="83"/>
      <c r="B74" s="4"/>
      <c r="C74" s="4"/>
      <c r="D74" s="4"/>
      <c r="E74" s="4"/>
      <c r="F74" s="4"/>
      <c r="G74" s="4"/>
      <c r="H74" s="4"/>
      <c r="I74" s="4"/>
      <c r="J74" s="4"/>
      <c r="K74" s="4"/>
    </row>
    <row r="75" ht="12.75" customHeight="1">
      <c r="A75" s="83"/>
      <c r="B75" s="4"/>
      <c r="C75" s="4"/>
      <c r="D75" s="4"/>
      <c r="E75" s="4"/>
      <c r="F75" s="4"/>
      <c r="G75" s="4"/>
      <c r="H75" s="4"/>
      <c r="I75" s="4"/>
      <c r="J75" s="4"/>
      <c r="K75" s="4"/>
    </row>
    <row r="76" ht="12.75" customHeight="1">
      <c r="A76" s="83"/>
      <c r="B76" s="4"/>
      <c r="C76" s="4"/>
      <c r="D76" s="4"/>
      <c r="E76" s="4"/>
      <c r="F76" s="4"/>
      <c r="G76" s="4"/>
      <c r="H76" s="4"/>
      <c r="I76" s="4"/>
      <c r="J76" s="4"/>
      <c r="K76" s="4"/>
    </row>
    <row r="77" ht="12.75" customHeight="1">
      <c r="A77" s="83"/>
      <c r="B77" s="4"/>
      <c r="C77" s="4"/>
      <c r="D77" s="4"/>
      <c r="E77" s="4"/>
      <c r="F77" s="4"/>
      <c r="G77" s="4"/>
      <c r="H77" s="4"/>
      <c r="I77" s="4"/>
      <c r="J77" s="4"/>
      <c r="K77" s="4"/>
    </row>
    <row r="78" ht="12.75" customHeight="1">
      <c r="A78" s="83"/>
      <c r="B78" s="4"/>
      <c r="C78" s="4"/>
      <c r="D78" s="4"/>
      <c r="E78" s="4"/>
      <c r="F78" s="4"/>
      <c r="G78" s="4"/>
      <c r="H78" s="4"/>
      <c r="I78" s="4"/>
      <c r="J78" s="4"/>
      <c r="K78" s="4"/>
    </row>
    <row r="79" ht="12.75" customHeight="1">
      <c r="A79" s="83"/>
      <c r="B79" s="4"/>
      <c r="C79" s="4"/>
      <c r="D79" s="4"/>
      <c r="E79" s="4"/>
      <c r="F79" s="4"/>
      <c r="G79" s="4"/>
      <c r="H79" s="4"/>
      <c r="I79" s="4"/>
      <c r="J79" s="4"/>
      <c r="K79" s="4"/>
    </row>
    <row r="80" ht="12.75" customHeight="1">
      <c r="A80" s="83"/>
      <c r="B80" s="4"/>
      <c r="C80" s="4"/>
      <c r="D80" s="4"/>
      <c r="E80" s="4"/>
      <c r="F80" s="4"/>
      <c r="G80" s="4"/>
      <c r="H80" s="4"/>
      <c r="I80" s="4"/>
      <c r="J80" s="4"/>
      <c r="K80" s="4"/>
    </row>
    <row r="81" ht="12.75" customHeight="1">
      <c r="A81" s="83"/>
      <c r="B81" s="4"/>
      <c r="C81" s="4"/>
      <c r="D81" s="4"/>
      <c r="E81" s="4"/>
      <c r="F81" s="4"/>
      <c r="G81" s="4"/>
      <c r="H81" s="4"/>
      <c r="I81" s="4"/>
      <c r="J81" s="4"/>
      <c r="K81" s="4"/>
    </row>
    <row r="82" ht="12.75" customHeight="1">
      <c r="A82" s="83"/>
      <c r="B82" s="4"/>
      <c r="C82" s="4"/>
      <c r="D82" s="4"/>
      <c r="E82" s="4"/>
      <c r="F82" s="4"/>
      <c r="G82" s="4"/>
      <c r="H82" s="4"/>
      <c r="I82" s="4"/>
      <c r="J82" s="4"/>
      <c r="K82" s="4"/>
    </row>
    <row r="83" ht="12.75" customHeight="1">
      <c r="A83" s="83"/>
      <c r="B83" s="4"/>
      <c r="C83" s="4"/>
      <c r="D83" s="4"/>
      <c r="E83" s="4"/>
      <c r="F83" s="4"/>
      <c r="G83" s="4"/>
      <c r="H83" s="4"/>
      <c r="I83" s="4"/>
      <c r="J83" s="4"/>
      <c r="K83" s="4"/>
    </row>
    <row r="84" ht="12.75" customHeight="1">
      <c r="A84" s="83"/>
      <c r="B84" s="4"/>
      <c r="C84" s="4"/>
      <c r="D84" s="4"/>
      <c r="E84" s="4"/>
      <c r="F84" s="4"/>
      <c r="G84" s="4"/>
      <c r="H84" s="4"/>
      <c r="I84" s="4"/>
      <c r="J84" s="4"/>
      <c r="K84" s="4"/>
    </row>
    <row r="85" ht="12.75" customHeight="1">
      <c r="A85" s="83"/>
      <c r="B85" s="4"/>
      <c r="C85" s="4"/>
      <c r="D85" s="4"/>
      <c r="E85" s="4"/>
      <c r="F85" s="4"/>
      <c r="G85" s="4"/>
      <c r="H85" s="4"/>
      <c r="I85" s="4"/>
      <c r="J85" s="4"/>
      <c r="K85" s="4"/>
    </row>
    <row r="86" ht="12.75" customHeight="1">
      <c r="A86" s="83"/>
      <c r="B86" s="4"/>
      <c r="C86" s="4"/>
      <c r="D86" s="4"/>
      <c r="E86" s="4"/>
      <c r="F86" s="4"/>
      <c r="G86" s="4"/>
      <c r="H86" s="4"/>
      <c r="I86" s="4"/>
      <c r="J86" s="4"/>
      <c r="K86" s="4"/>
    </row>
    <row r="87" ht="12.75" customHeight="1">
      <c r="A87" s="83"/>
      <c r="B87" s="4"/>
      <c r="C87" s="4"/>
      <c r="D87" s="4"/>
      <c r="E87" s="4"/>
      <c r="F87" s="4"/>
      <c r="G87" s="4"/>
      <c r="H87" s="4"/>
      <c r="I87" s="4"/>
      <c r="J87" s="4"/>
      <c r="K87" s="4"/>
    </row>
    <row r="88" ht="12.75" customHeight="1">
      <c r="A88" s="83"/>
      <c r="B88" s="4"/>
      <c r="C88" s="4"/>
      <c r="D88" s="4"/>
      <c r="E88" s="4"/>
      <c r="F88" s="4"/>
      <c r="G88" s="4"/>
      <c r="H88" s="4"/>
      <c r="I88" s="4"/>
      <c r="J88" s="4"/>
      <c r="K88" s="4"/>
    </row>
    <row r="89" ht="12.75" customHeight="1">
      <c r="A89" s="83"/>
      <c r="B89" s="4"/>
      <c r="C89" s="4"/>
      <c r="D89" s="4"/>
      <c r="E89" s="4"/>
      <c r="F89" s="4"/>
      <c r="G89" s="4"/>
      <c r="H89" s="4"/>
      <c r="I89" s="4"/>
      <c r="J89" s="4"/>
      <c r="K89" s="4"/>
    </row>
    <row r="90" ht="12.75" customHeight="1">
      <c r="A90" s="83"/>
      <c r="B90" s="4"/>
      <c r="C90" s="4"/>
      <c r="D90" s="4"/>
      <c r="E90" s="4"/>
      <c r="F90" s="4"/>
      <c r="G90" s="4"/>
      <c r="H90" s="4"/>
      <c r="I90" s="4"/>
      <c r="J90" s="4"/>
      <c r="K90" s="4"/>
    </row>
    <row r="91" ht="12.75" customHeight="1">
      <c r="A91" s="83"/>
      <c r="B91" s="4"/>
      <c r="C91" s="4"/>
      <c r="D91" s="4"/>
      <c r="E91" s="4"/>
      <c r="F91" s="4"/>
      <c r="G91" s="4"/>
      <c r="H91" s="4"/>
      <c r="I91" s="4"/>
      <c r="J91" s="4"/>
      <c r="K91" s="4"/>
    </row>
    <row r="92" ht="12.75" customHeight="1">
      <c r="A92" s="83"/>
      <c r="B92" s="4"/>
      <c r="C92" s="4"/>
      <c r="D92" s="4"/>
      <c r="E92" s="4"/>
      <c r="F92" s="4"/>
      <c r="G92" s="4"/>
      <c r="H92" s="4"/>
      <c r="I92" s="4"/>
      <c r="J92" s="4"/>
      <c r="K92" s="4"/>
    </row>
    <row r="93" ht="12.75" customHeight="1">
      <c r="A93" s="83"/>
      <c r="B93" s="4"/>
      <c r="C93" s="4"/>
      <c r="D93" s="4"/>
      <c r="E93" s="4"/>
      <c r="F93" s="4"/>
      <c r="G93" s="4"/>
      <c r="H93" s="4"/>
      <c r="I93" s="4"/>
      <c r="J93" s="4"/>
      <c r="K93" s="4"/>
    </row>
    <row r="94" ht="12.75" customHeight="1">
      <c r="A94" s="83"/>
      <c r="B94" s="4"/>
      <c r="C94" s="4"/>
      <c r="D94" s="4"/>
      <c r="E94" s="4"/>
      <c r="F94" s="4"/>
      <c r="G94" s="4"/>
      <c r="H94" s="4"/>
      <c r="I94" s="4"/>
      <c r="J94" s="4"/>
      <c r="K94" s="4"/>
    </row>
    <row r="95" ht="12.75" customHeight="1">
      <c r="A95" s="83"/>
      <c r="B95" s="4"/>
      <c r="C95" s="4"/>
      <c r="D95" s="4"/>
      <c r="E95" s="4"/>
      <c r="F95" s="4"/>
      <c r="G95" s="4"/>
      <c r="H95" s="4"/>
      <c r="I95" s="4"/>
      <c r="J95" s="4"/>
      <c r="K95" s="4"/>
    </row>
    <row r="96" ht="12.75" customHeight="1">
      <c r="A96" s="83"/>
      <c r="B96" s="4"/>
      <c r="C96" s="4"/>
      <c r="D96" s="4"/>
      <c r="E96" s="4"/>
      <c r="F96" s="4"/>
      <c r="G96" s="4"/>
      <c r="H96" s="4"/>
      <c r="I96" s="4"/>
      <c r="J96" s="4"/>
      <c r="K96" s="4"/>
    </row>
    <row r="97" ht="12.75" customHeight="1">
      <c r="A97" s="83"/>
      <c r="B97" s="4"/>
      <c r="C97" s="4"/>
      <c r="D97" s="4"/>
      <c r="E97" s="4"/>
      <c r="F97" s="4"/>
      <c r="G97" s="4"/>
      <c r="H97" s="4"/>
      <c r="I97" s="4"/>
      <c r="J97" s="4"/>
      <c r="K97" s="4"/>
    </row>
    <row r="98" ht="12.75" customHeight="1">
      <c r="A98" s="83"/>
      <c r="B98" s="4"/>
      <c r="C98" s="4"/>
      <c r="D98" s="4"/>
      <c r="E98" s="4"/>
      <c r="F98" s="4"/>
      <c r="G98" s="4"/>
      <c r="H98" s="4"/>
      <c r="I98" s="4"/>
      <c r="J98" s="4"/>
      <c r="K98" s="4"/>
    </row>
    <row r="99" ht="12.75" customHeight="1">
      <c r="A99" s="83"/>
      <c r="B99" s="4"/>
      <c r="C99" s="4"/>
      <c r="D99" s="4"/>
      <c r="E99" s="4"/>
      <c r="F99" s="4"/>
      <c r="G99" s="4"/>
      <c r="H99" s="4"/>
      <c r="I99" s="4"/>
      <c r="J99" s="4"/>
      <c r="K99" s="4"/>
    </row>
    <row r="100" ht="12.75" customHeight="1">
      <c r="A100" s="83"/>
      <c r="B100" s="4"/>
      <c r="C100" s="4"/>
      <c r="D100" s="4"/>
      <c r="E100" s="4"/>
      <c r="F100" s="4"/>
      <c r="G100" s="4"/>
      <c r="H100" s="4"/>
      <c r="I100" s="4"/>
      <c r="J100" s="4"/>
      <c r="K100" s="4"/>
    </row>
  </sheetData>
  <hyperlinks>
    <hyperlink r:id="rId1" ref="A2"/>
    <hyperlink r:id="rId2" ref="A3"/>
    <hyperlink r:id="rId3" ref="A10"/>
    <hyperlink r:id="rId4" ref="A13"/>
  </hyperlinks>
  <printOptions/>
  <pageMargins bottom="0.5" footer="0.0" header="0.0" left="0.5" right="0.5" top="0.5"/>
  <pageSetup paperSize="9" orientation="portrait"/>
  <drawing r:id="rId5"/>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2021-12-14T20:18:50Z</dcterms:created>
  <dc:creator/>
  <dc:description/>
  <cp:lastModifiedBy/>
  <dcterms:modified xsi:type="dcterms:W3CDTF">2022-02-15T06:36:09Z</dcterms:modified>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